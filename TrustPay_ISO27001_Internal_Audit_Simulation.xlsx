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Audit Plan" sheetId="1" state="visible" r:id="rId3"/>
    <sheet name="2. Evidence Checklist" sheetId="2" state="visible" r:id="rId4"/>
    <sheet name="3. Findings Register" sheetId="3" state="visible" r:id="rId5"/>
    <sheet name="4. Corrective Action Tracker" sheetId="4" state="visible" r:id="rId6"/>
    <sheet name="5. Audit Summary 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<sst xmlns="http://schemas.openxmlformats.org/spreadsheetml/2006/main" count="556" uniqueCount="366">
  <si>
    <t xml:space="preserve">TrustPay Ltd — ISO/IEC 27001:2022 Internal Audit Simulation</t>
  </si>
  <si>
    <t xml:space="preserve">AUDIT PLAN</t>
  </si>
  <si>
    <t xml:space="preserve">Organisation:</t>
  </si>
  <si>
    <t xml:space="preserve">TrustPay Ltd (Fictional Fintech)</t>
  </si>
  <si>
    <t xml:space="preserve">Audit Scope:</t>
  </si>
  <si>
    <t xml:space="preserve">ISMS covering payment processing, customer data, cloud infrastructure &amp; third-party integrations</t>
  </si>
  <si>
    <t xml:space="preserve">Audit Period:</t>
  </si>
  <si>
    <t xml:space="preserve">Q1 2025 (January – March 2025)</t>
  </si>
  <si>
    <t xml:space="preserve">Lead Auditor:</t>
  </si>
  <si>
    <t xml:space="preserve">Sandra Aganyi, ISO/IEC 27001:2022 LA | CC | CCST</t>
  </si>
  <si>
    <t xml:space="preserve">Report Date:</t>
  </si>
  <si>
    <t xml:space="preserve">31 March 2025</t>
  </si>
  <si>
    <t xml:space="preserve">AUDIT SCHEDULE &amp; CLAUSE COVERAGE</t>
  </si>
  <si>
    <t xml:space="preserve">#</t>
  </si>
  <si>
    <t xml:space="preserve">ISO 27001:2022 Clause / Annex A Domain</t>
  </si>
  <si>
    <t xml:space="preserve">Area / Process Audited</t>
  </si>
  <si>
    <t xml:space="preserve">Auditee / Department</t>
  </si>
  <si>
    <t xml:space="preserve">Audit Method</t>
  </si>
  <si>
    <t xml:space="preserve">Scheduled Date</t>
  </si>
  <si>
    <t xml:space="preserve">Duration</t>
  </si>
  <si>
    <t xml:space="preserve">Status</t>
  </si>
  <si>
    <t xml:space="preserve">Clause 4 – Context of the Organisation</t>
  </si>
  <si>
    <t xml:space="preserve">ISMS Scope &amp; Stakeholder Register</t>
  </si>
  <si>
    <t xml:space="preserve">Executive / GRC Team</t>
  </si>
  <si>
    <t xml:space="preserve">Document Review</t>
  </si>
  <si>
    <t xml:space="preserve">10 Jan 2025</t>
  </si>
  <si>
    <t xml:space="preserve">2 hrs</t>
  </si>
  <si>
    <t xml:space="preserve">Completed</t>
  </si>
  <si>
    <t xml:space="preserve">Clause 5 – Leadership &amp; Commitment</t>
  </si>
  <si>
    <t xml:space="preserve">IS Policy, Roles &amp; Responsibilities</t>
  </si>
  <si>
    <t xml:space="preserve">CISO / Board Rep</t>
  </si>
  <si>
    <t xml:space="preserve">Interview + Doc Review</t>
  </si>
  <si>
    <t xml:space="preserve">13 Jan 2025</t>
  </si>
  <si>
    <t xml:space="preserve">Clause 6 – Planning (Risk &amp; Objectives)</t>
  </si>
  <si>
    <t xml:space="preserve">Risk Register, Treatment Plan, SoA</t>
  </si>
  <si>
    <t xml:space="preserve">GRC / Risk Team</t>
  </si>
  <si>
    <t xml:space="preserve">15 Jan 2025</t>
  </si>
  <si>
    <t xml:space="preserve">3 hrs</t>
  </si>
  <si>
    <t xml:space="preserve">Clause 7 – Support (Resources, Awareness)</t>
  </si>
  <si>
    <t xml:space="preserve">Training Records, Competence Files</t>
  </si>
  <si>
    <t xml:space="preserve">HR / GRC</t>
  </si>
  <si>
    <t xml:space="preserve">Record Review + Interview</t>
  </si>
  <si>
    <t xml:space="preserve">20 Jan 2025</t>
  </si>
  <si>
    <t xml:space="preserve">Clause 8 – Operation (Implementation)</t>
  </si>
  <si>
    <t xml:space="preserve">Operational Controls, Incident Logs</t>
  </si>
  <si>
    <t xml:space="preserve">IT Ops / GRC</t>
  </si>
  <si>
    <t xml:space="preserve">Observation + Testing</t>
  </si>
  <si>
    <t xml:space="preserve">27 Jan 2025</t>
  </si>
  <si>
    <t xml:space="preserve">4 hrs</t>
  </si>
  <si>
    <t xml:space="preserve">Clause 9 – Performance Evaluation</t>
  </si>
  <si>
    <t xml:space="preserve">Internal Audit Records, KPIs, Reviews</t>
  </si>
  <si>
    <t xml:space="preserve">GRC / CISO</t>
  </si>
  <si>
    <t xml:space="preserve">03 Feb 2025</t>
  </si>
  <si>
    <t xml:space="preserve">Clause 10 – Improvement (NCRs &amp; CAPs)</t>
  </si>
  <si>
    <t xml:space="preserve">Nonconformity Register, CARs</t>
  </si>
  <si>
    <t xml:space="preserve">GRC Team</t>
  </si>
  <si>
    <t xml:space="preserve">05 Feb 2025</t>
  </si>
  <si>
    <t xml:space="preserve">A.5 – Organisational Controls</t>
  </si>
  <si>
    <t xml:space="preserve">Policies, Acceptable Use, Asset Mgmt</t>
  </si>
  <si>
    <t xml:space="preserve">GRC / IT</t>
  </si>
  <si>
    <t xml:space="preserve">Document Review + Interview</t>
  </si>
  <si>
    <t xml:space="preserve">10 Feb 2025</t>
  </si>
  <si>
    <t xml:space="preserve">A.6 – People Controls</t>
  </si>
  <si>
    <t xml:space="preserve">Vetting, NDA, Offboarding Procedures</t>
  </si>
  <si>
    <t xml:space="preserve">12 Feb 2025</t>
  </si>
  <si>
    <t xml:space="preserve">A.7 – Physical Controls</t>
  </si>
  <si>
    <t xml:space="preserve">Data Centre, Office Access, CCTV</t>
  </si>
  <si>
    <t xml:space="preserve">Facilities / IT</t>
  </si>
  <si>
    <t xml:space="preserve">Site Walk + Observation</t>
  </si>
  <si>
    <t xml:space="preserve">17 Feb 2025</t>
  </si>
  <si>
    <t xml:space="preserve">A.8 – Technological Controls</t>
  </si>
  <si>
    <t xml:space="preserve">Access Mgmt, Encryption, Vulnerability Mgmt</t>
  </si>
  <si>
    <t xml:space="preserve">IT Ops / DevSecOps</t>
  </si>
  <si>
    <t xml:space="preserve">Technical Testing + Review</t>
  </si>
  <si>
    <t xml:space="preserve">24 Feb 2025</t>
  </si>
  <si>
    <t xml:space="preserve">5 hrs</t>
  </si>
  <si>
    <t xml:space="preserve">AUDIT OBJECTIVES</t>
  </si>
  <si>
    <t xml:space="preserve">1. Verify TrustPay Ltd's ISMS conforms to the requirements of ISO/IEC 27001:2022 (Clauses 4–10 and Annex A controls).</t>
  </si>
  <si>
    <t xml:space="preserve">2. Assess the effectiveness of implemented information security controls in protecting payment data and customer information.</t>
  </si>
  <si>
    <t xml:space="preserve">3. Identify nonconformities, observations, and opportunities for improvement within the ISMS.</t>
  </si>
  <si>
    <t xml:space="preserve">4. Confirm that TrustPay's risk treatment plan addresses identified risks to an acceptable residual level.</t>
  </si>
  <si>
    <t xml:space="preserve">5. Provide a clear audit findings report with corrective action recommendations for management review.</t>
  </si>
  <si>
    <t xml:space="preserve">TrustPay Ltd — ISO 27001:2022 Evidence &amp; Document Checklist</t>
  </si>
  <si>
    <t xml:space="preserve">Auditors document what evidence was requested, what was received, and its adequacy</t>
  </si>
  <si>
    <t xml:space="preserve">ISO Clause / Control</t>
  </si>
  <si>
    <t xml:space="preserve">Evidence Required</t>
  </si>
  <si>
    <t xml:space="preserve">Document / Evidence Received</t>
  </si>
  <si>
    <t xml:space="preserve">Document Ref / ID</t>
  </si>
  <si>
    <t xml:space="preserve">Date Received</t>
  </si>
  <si>
    <t xml:space="preserve">Adequate?</t>
  </si>
  <si>
    <t xml:space="preserve">Completeness %</t>
  </si>
  <si>
    <t xml:space="preserve">Auditor Notes</t>
  </si>
  <si>
    <t xml:space="preserve">Cl.4 – Context</t>
  </si>
  <si>
    <t xml:space="preserve">ISMS Scope Statement</t>
  </si>
  <si>
    <t xml:space="preserve">ISMS-SCOPE-v2.1.docx</t>
  </si>
  <si>
    <t xml:space="preserve">TP-DOC-001</t>
  </si>
  <si>
    <t xml:space="preserve">08 Jan 2025</t>
  </si>
  <si>
    <t xml:space="preserve">Yes</t>
  </si>
  <si>
    <t xml:space="preserve">Scope clearly defines boundaries; PCI-DSS and NDPR references included.</t>
  </si>
  <si>
    <t xml:space="preserve">Interested Parties Register</t>
  </si>
  <si>
    <t xml:space="preserve">Stakeholder_Register_2025.xlsx</t>
  </si>
  <si>
    <t xml:space="preserve">TP-DOC-002</t>
  </si>
  <si>
    <t xml:space="preserve">All 12 stakeholders identified; expectations documented.</t>
  </si>
  <si>
    <t xml:space="preserve">Cl.5 – Leadership</t>
  </si>
  <si>
    <t xml:space="preserve">Information Security Policy</t>
  </si>
  <si>
    <t xml:space="preserve">IS_Policy_v3.0.pdf</t>
  </si>
  <si>
    <t xml:space="preserve">TP-DOC-003</t>
  </si>
  <si>
    <t xml:space="preserve">Signed by CEO Jan 2025. Communicated via intranet.</t>
  </si>
  <si>
    <t xml:space="preserve">ISMS Roles &amp; Responsibilities Matrix</t>
  </si>
  <si>
    <t xml:space="preserve">RACI_Matrix_ISMS.xlsx</t>
  </si>
  <si>
    <t xml:space="preserve">TP-DOC-004</t>
  </si>
  <si>
    <t xml:space="preserve">Partial</t>
  </si>
  <si>
    <t xml:space="preserve">CISO role defined; DPO responsibilities need clearer separation.</t>
  </si>
  <si>
    <t xml:space="preserve">Cl.6 – Planning</t>
  </si>
  <si>
    <t xml:space="preserve">Risk Register (current)</t>
  </si>
  <si>
    <t xml:space="preserve">Risk_Register_Q1_2025.xlsx</t>
  </si>
  <si>
    <t xml:space="preserve">TP-DOC-005</t>
  </si>
  <si>
    <t xml:space="preserve">37 risks identified; likelihood/impact scores present. Risk owners assigned.</t>
  </si>
  <si>
    <t xml:space="preserve">Risk Treatment Plan</t>
  </si>
  <si>
    <t xml:space="preserve">Risk_Treatment_Plan_2025.pdf</t>
  </si>
  <si>
    <t xml:space="preserve">TP-DOC-006</t>
  </si>
  <si>
    <t xml:space="preserve">Treatment options mapped per risk. Residual risk accepted by management.</t>
  </si>
  <si>
    <t xml:space="preserve">Statement of Applicability (SoA)</t>
  </si>
  <si>
    <t xml:space="preserve">SoA_ISO27001_2022.xlsx</t>
  </si>
  <si>
    <t xml:space="preserve">TP-DOC-007</t>
  </si>
  <si>
    <t xml:space="preserve">All 93 Annex A controls addressed; justifications provided.</t>
  </si>
  <si>
    <t xml:space="preserve">Cl.7 – Support</t>
  </si>
  <si>
    <t xml:space="preserve">Security Awareness Training Records</t>
  </si>
  <si>
    <t xml:space="preserve">Training_Completion_2024.xlsx</t>
  </si>
  <si>
    <t xml:space="preserve">TP-DOC-008</t>
  </si>
  <si>
    <t xml:space="preserve">17 Jan 2025</t>
  </si>
  <si>
    <t xml:space="preserve">72% completion rate — 28% of staff overdue. MINOR NC raised.</t>
  </si>
  <si>
    <t xml:space="preserve">Competence &amp; Qualification Records</t>
  </si>
  <si>
    <t xml:space="preserve">HR_Competence_Files.pdf</t>
  </si>
  <si>
    <t xml:space="preserve">TP-DOC-009</t>
  </si>
  <si>
    <t xml:space="preserve">GRC and IT roles have documented qualifications.</t>
  </si>
  <si>
    <t xml:space="preserve">Cl.8 – Operation</t>
  </si>
  <si>
    <t xml:space="preserve">Change Management Log</t>
  </si>
  <si>
    <t xml:space="preserve">Change_Log_Q4_2024.xlsx</t>
  </si>
  <si>
    <t xml:space="preserve">TP-DOC-010</t>
  </si>
  <si>
    <t xml:space="preserve">24 Jan 2025</t>
  </si>
  <si>
    <t xml:space="preserve">12 changes logged; all with approval records.</t>
  </si>
  <si>
    <t xml:space="preserve">Incident Register (12 months)</t>
  </si>
  <si>
    <t xml:space="preserve">Incident_Log_2024.xlsx</t>
  </si>
  <si>
    <t xml:space="preserve">TP-DOC-011</t>
  </si>
  <si>
    <t xml:space="preserve">9 incidents logged; 8 closed with RCA. 1 open — phishing attempt.</t>
  </si>
  <si>
    <t xml:space="preserve">Business Continuity / DR Plan</t>
  </si>
  <si>
    <t xml:space="preserve">BCP_DR_Plan_v2.pdf</t>
  </si>
  <si>
    <t xml:space="preserve">TP-DOC-012</t>
  </si>
  <si>
    <t xml:space="preserve">BCP exists; last DR test was 18 months ago — stale. OFI raised.</t>
  </si>
  <si>
    <t xml:space="preserve">Cl.9 – Evaluation</t>
  </si>
  <si>
    <t xml:space="preserve">Internal Audit Records (prior cycle)</t>
  </si>
  <si>
    <t xml:space="preserve">Audit_Report_2024.pdf</t>
  </si>
  <si>
    <t xml:space="preserve">TP-DOC-013</t>
  </si>
  <si>
    <t xml:space="preserve">Previous audit findings tracked and closed.</t>
  </si>
  <si>
    <t xml:space="preserve">Management Review Minutes</t>
  </si>
  <si>
    <t xml:space="preserve">MgmtReview_Dec2024.pdf</t>
  </si>
  <si>
    <t xml:space="preserve">TP-DOC-014</t>
  </si>
  <si>
    <t xml:space="preserve">Quarterly review held; ISMS performance discussed.</t>
  </si>
  <si>
    <t xml:space="preserve">ISMS KPI / Metrics Dashboard</t>
  </si>
  <si>
    <t xml:space="preserve">ISMS_Metrics_Q4_2024.xlsx</t>
  </si>
  <si>
    <t xml:space="preserve">TP-DOC-015</t>
  </si>
  <si>
    <t xml:space="preserve">KPIs defined but 3 metrics lack baseline data.</t>
  </si>
  <si>
    <t xml:space="preserve">Cl.10 – Improvement</t>
  </si>
  <si>
    <t xml:space="preserve">Nonconformity &amp; CAR Register</t>
  </si>
  <si>
    <t xml:space="preserve">NCR_Register_2024.xlsx</t>
  </si>
  <si>
    <t xml:space="preserve">TP-DOC-016</t>
  </si>
  <si>
    <t xml:space="preserve">All prior NCs have CARs; 2 overdue — flagged.</t>
  </si>
  <si>
    <t xml:space="preserve">A.5 – Org Controls</t>
  </si>
  <si>
    <t xml:space="preserve">Asset Inventory / Asset Register</t>
  </si>
  <si>
    <t xml:space="preserve">Asset_Register_v4.xlsx</t>
  </si>
  <si>
    <t xml:space="preserve">TP-DOC-017</t>
  </si>
  <si>
    <t xml:space="preserve">948 assets logged; cloud assets recently added.</t>
  </si>
  <si>
    <t xml:space="preserve">Supplier / Third-Party Risk Assessments</t>
  </si>
  <si>
    <t xml:space="preserve">Vendor_Risk_Assessments_2025.pdf</t>
  </si>
  <si>
    <t xml:space="preserve">TP-DOC-018</t>
  </si>
  <si>
    <t xml:space="preserve">Only 4 of 11 vendors assessed. MAJOR NC raised.</t>
  </si>
  <si>
    <t xml:space="preserve">Background Check / Vetting Records</t>
  </si>
  <si>
    <t xml:space="preserve">HR_Vetting_Certificates.pdf</t>
  </si>
  <si>
    <t xml:space="preserve">TP-DOC-019</t>
  </si>
  <si>
    <t xml:space="preserve">All permanent staff vetted; contractors require NDA confirmation.</t>
  </si>
  <si>
    <t xml:space="preserve">Offboarding / Access Revocation Log</t>
  </si>
  <si>
    <t xml:space="preserve">Offboarding_Log_2024.xlsx</t>
  </si>
  <si>
    <t xml:space="preserve">TP-DOC-020</t>
  </si>
  <si>
    <t xml:space="preserve">3 ex-employees' accounts not removed within SLA. MINOR NC raised.</t>
  </si>
  <si>
    <t xml:space="preserve">Physical Access Logs (server room)</t>
  </si>
  <si>
    <t xml:space="preserve">Access_Log_ServerRoom_2024.xlsx</t>
  </si>
  <si>
    <t xml:space="preserve">TP-DOC-021</t>
  </si>
  <si>
    <t xml:space="preserve">Badge access logs complete; quarterly review conducted.</t>
  </si>
  <si>
    <t xml:space="preserve">A.8 – Tech Controls</t>
  </si>
  <si>
    <t xml:space="preserve">Access Control / IAM Policy &amp; Reviews</t>
  </si>
  <si>
    <t xml:space="preserve">IAM_Policy_v2.pdf + AccessReview_Q4.xlsx</t>
  </si>
  <si>
    <t xml:space="preserve">TP-DOC-022</t>
  </si>
  <si>
    <t xml:space="preserve">Quarterly access review overdue by 6 weeks. MINOR NC raised.</t>
  </si>
  <si>
    <t xml:space="preserve">Vulnerability Scan Reports</t>
  </si>
  <si>
    <t xml:space="preserve">VulnScan_Feb2025.pdf</t>
  </si>
  <si>
    <t xml:space="preserve">TP-DOC-023</t>
  </si>
  <si>
    <t xml:space="preserve">Monthly scans performed; 2 critical vulns patched within SLA.</t>
  </si>
  <si>
    <t xml:space="preserve">Encryption Standards Document</t>
  </si>
  <si>
    <t xml:space="preserve">Encryption_Policy_v1.2.pdf</t>
  </si>
  <si>
    <t xml:space="preserve">TP-DOC-024</t>
  </si>
  <si>
    <t xml:space="preserve">AES-256 at rest, TLS 1.2+ in transit. Key management documented.</t>
  </si>
  <si>
    <t xml:space="preserve">Penetration Test Report</t>
  </si>
  <si>
    <t xml:space="preserve">PenTest_Report_2024.pdf</t>
  </si>
  <si>
    <t xml:space="preserve">TP-DOC-025</t>
  </si>
  <si>
    <t xml:space="preserve">Annual pentest completed Nov 2024; findings remediated.</t>
  </si>
  <si>
    <t xml:space="preserve">CHECKLIST SUMMARY</t>
  </si>
  <si>
    <t xml:space="preserve">Total Evidence Items</t>
  </si>
  <si>
    <t xml:space="preserve">Adequate (Yes)</t>
  </si>
  <si>
    <t xml:space="preserve">Not Adequate</t>
  </si>
  <si>
    <t xml:space="preserve">Avg Completeness</t>
  </si>
  <si>
    <t xml:space="preserve">TrustPay Ltd — ISO 27001:2022 Audit Findings Register</t>
  </si>
  <si>
    <t xml:space="preserve">NC = Nonconformity | OFI = Opportunity for Improvement | OBS = Observation</t>
  </si>
  <si>
    <t xml:space="preserve">Ref</t>
  </si>
  <si>
    <t xml:space="preserve">Type</t>
  </si>
  <si>
    <t xml:space="preserve">Severity</t>
  </si>
  <si>
    <t xml:space="preserve">Finding Description</t>
  </si>
  <si>
    <t xml:space="preserve">Objective Evidence</t>
  </si>
  <si>
    <t xml:space="preserve">Root Cause</t>
  </si>
  <si>
    <t xml:space="preserve">Recommended Corrective Action</t>
  </si>
  <si>
    <t xml:space="preserve">Target Date</t>
  </si>
  <si>
    <t xml:space="preserve">Owner</t>
  </si>
  <si>
    <t xml:space="preserve">F-001</t>
  </si>
  <si>
    <t xml:space="preserve">MAJOR NC</t>
  </si>
  <si>
    <t xml:space="preserve">A.5.19 – Supplier Relationships</t>
  </si>
  <si>
    <t xml:space="preserve">MAJOR</t>
  </si>
  <si>
    <t xml:space="preserve">Only 4 of 11 critical third-party suppliers have a completed information security risk assessment. No formal supplier review process is documented.</t>
  </si>
  <si>
    <t xml:space="preserve">Vendor_Risk_Assessments_2025.pdf — 7 vendor folders contain no risk assessment. Supplier list confirms 11 active vendors.</t>
  </si>
  <si>
    <t xml:space="preserve">Lack of a formal third-party risk management procedure. Supplier onboarding process does not include mandatory IS assessment.</t>
  </si>
  <si>
    <t xml:space="preserve">1. Develop and implement a Third-Party Risk Management Procedure within 30 days.
2. Complete risk assessments for all 7 outstanding vendors within 60 days.
3. Include IS assessment as a mandatory step in the supplier onboarding checklist.</t>
  </si>
  <si>
    <t xml:space="preserve">30 Apr 2025</t>
  </si>
  <si>
    <t xml:space="preserve">Head of GRC</t>
  </si>
  <si>
    <t xml:space="preserve">Open</t>
  </si>
  <si>
    <t xml:space="preserve">F-002</t>
  </si>
  <si>
    <t xml:space="preserve">MINOR NC</t>
  </si>
  <si>
    <t xml:space="preserve">A.6.3 – Information Security Awareness</t>
  </si>
  <si>
    <t xml:space="preserve">MINOR</t>
  </si>
  <si>
    <t xml:space="preserve">Security awareness training completion rate is 72% — 28% of staff (approx. 42 employees) have not completed mandatory annual training.</t>
  </si>
  <si>
    <t xml:space="preserve">Training_Completion_2024.xlsx — 42 employees marked 'Incomplete'. Training deadline was 31 Dec 2024.</t>
  </si>
  <si>
    <t xml:space="preserve">No automated escalation mechanism when training deadlines are missed. Line managers not notified of non-compliant staff.</t>
  </si>
  <si>
    <t xml:space="preserve">1. Issue immediate mandatory training reminder to 42 overdue staff.
2. Set automated LMS alerts to managers at 14-day and 3-day deadlines.
3. Escalate persistent non-completion to HR for disciplinary process.</t>
  </si>
  <si>
    <t xml:space="preserve">15 Apr 2025</t>
  </si>
  <si>
    <t xml:space="preserve">Head of HR</t>
  </si>
  <si>
    <t xml:space="preserve">F-003</t>
  </si>
  <si>
    <t xml:space="preserve">A.5.15 – Access Control Reviews</t>
  </si>
  <si>
    <t xml:space="preserve">Quarterly access review for privileged users is overdue by 6 weeks. No evidence of a completed review for Q4 2024.</t>
  </si>
  <si>
    <t xml:space="preserve">IAM Policy v2 requires quarterly review. Last review log dated 15 Oct 2024 — Q4 review not found.</t>
  </si>
  <si>
    <t xml:space="preserve">Access review scheduled manually with no calendar reminder or tracking system. IT team oversight.</t>
  </si>
  <si>
    <t xml:space="preserve">1. Complete overdue Q4 2024 access review immediately.
2. Implement automated ticketing for quarterly access reviews.
3. Add access review completion to ISMS KPI dashboard.</t>
  </si>
  <si>
    <t xml:space="preserve">20 Apr 2025</t>
  </si>
  <si>
    <t xml:space="preserve">IT Operations Manager</t>
  </si>
  <si>
    <t xml:space="preserve">F-004</t>
  </si>
  <si>
    <t xml:space="preserve">A.5.15 – Offboarding / Access Revocation</t>
  </si>
  <si>
    <t xml:space="preserve">3 former employees' system accounts were not revoked within the 24-hour SLA defined in the Access Control Policy. Accounts remained active for 3–7 days post-departure.</t>
  </si>
  <si>
    <t xml:space="preserve">Offboarding_Log_2024.xlsx — 3 entries show departure date vs account deactivation date exceeding 24hrs (3 days, 5 days, 7 days).</t>
  </si>
  <si>
    <t xml:space="preserve">Offboarding process relies on manual email notification between HR and IT. No automated triggers for account deactivation.</t>
  </si>
  <si>
    <t xml:space="preserve">1. Integrate HRIS system with IAM to trigger automatic account suspension upon offboarding.
2. Mandate IT sign-off on offboarding checklist within 4 hours of notification.
3. Implement weekly audit of active accounts vs current employee list.</t>
  </si>
  <si>
    <t xml:space="preserve">F-005</t>
  </si>
  <si>
    <t xml:space="preserve">OFI</t>
  </si>
  <si>
    <t xml:space="preserve">Cl.8 – Business Continuity &amp; DR</t>
  </si>
  <si>
    <t xml:space="preserve">LOW</t>
  </si>
  <si>
    <t xml:space="preserve">The Disaster Recovery Plan has not been tested in 18 months. ISO 27001 and best practice recommend annual testing at minimum. Untested plans may not work in a real incident.</t>
  </si>
  <si>
    <t xml:space="preserve">BCP_DR_Plan_v2.pdf — last test evidence dated Aug 2023. No 2024 DR exercise records found.</t>
  </si>
  <si>
    <t xml:space="preserve">DR testing not included in the annual ISMS calendar. No budget allocated for a 2024 tabletop or full DR exercise.</t>
  </si>
  <si>
    <t xml:space="preserve">1. Schedule a tabletop DR exercise by end of Q2 2025.
2. Add DR testing to the annual ISMS operations calendar.
3. Document lessons learned and update the DR plan after the exercise.</t>
  </si>
  <si>
    <t xml:space="preserve">30 Jun 2025</t>
  </si>
  <si>
    <t xml:space="preserve">CISO</t>
  </si>
  <si>
    <t xml:space="preserve">F-006</t>
  </si>
  <si>
    <t xml:space="preserve">Cl.9.1 – ISMS Performance Measurement</t>
  </si>
  <si>
    <t xml:space="preserve">3 of 8 defined ISMS KPIs lack baseline data, making it impossible to assess trend or improvement over time.</t>
  </si>
  <si>
    <t xml:space="preserve">ISMS_Metrics_Q4_2024.xlsx — cells for 'Mean Time to Patch', 'Phishing Click Rate', and 'Vendor Risk Score' show 'N/A — baseline not set'.</t>
  </si>
  <si>
    <t xml:space="preserve">KPIs were defined in the IS Policy review but measurement tooling was not implemented at the same time.</t>
  </si>
  <si>
    <t xml:space="preserve">1. Establish baseline measurements for the 3 KPIs by end of Q1 2025.
2. Assign a metric owner for each KPI.
3. Integrate KPI tracking into the monthly ISMS dashboard.</t>
  </si>
  <si>
    <t xml:space="preserve">31 May 2025</t>
  </si>
  <si>
    <t xml:space="preserve">GRC Analyst</t>
  </si>
  <si>
    <t xml:space="preserve">F-007</t>
  </si>
  <si>
    <t xml:space="preserve">OBS</t>
  </si>
  <si>
    <t xml:space="preserve">Cl.5.1 – Leadership Roles (DPO/CISO)</t>
  </si>
  <si>
    <t xml:space="preserve">INFO</t>
  </si>
  <si>
    <t xml:space="preserve">The RACI matrix does not clearly distinguish DPO responsibilities from CISO responsibilities, particularly for data breach notification and DSAR handling.</t>
  </si>
  <si>
    <t xml:space="preserve">RACI_Matrix_ISMS.xlsx — DPO and CISO columns share 'R' (Responsible) for 6 activities with no tiebreaker defined.</t>
  </si>
  <si>
    <t xml:space="preserve">Roles evolved organically; RACI was not updated when DPO was appointed in 2023.</t>
  </si>
  <si>
    <t xml:space="preserve">Review and update the RACI to clearly assign primary (R) and secondary (C) designations for DPO vs CISO tasks. Consider a roles-and-responsibilities annex to the IS Policy.</t>
  </si>
  <si>
    <t xml:space="preserve">CISO / DPO</t>
  </si>
  <si>
    <t xml:space="preserve">TrustPay Ltd — Corrective Action Plan (CAP) Tracker</t>
  </si>
  <si>
    <t xml:space="preserve">Tracks corrective actions arising from audit findings — updated monthly by GRC team</t>
  </si>
  <si>
    <t xml:space="preserve">Finding Ref</t>
  </si>
  <si>
    <t xml:space="preserve">NC Type</t>
  </si>
  <si>
    <t xml:space="preserve">Corrective Action Description</t>
  </si>
  <si>
    <t xml:space="preserve">Priority</t>
  </si>
  <si>
    <t xml:space="preserve">Root Cause (Summary)</t>
  </si>
  <si>
    <t xml:space="preserve">Responsible Owner</t>
  </si>
  <si>
    <t xml:space="preserve">% Complete</t>
  </si>
  <si>
    <t xml:space="preserve">Date Completed</t>
  </si>
  <si>
    <t xml:space="preserve">Verified By</t>
  </si>
  <si>
    <t xml:space="preserve">Verification Date</t>
  </si>
  <si>
    <t xml:space="preserve">CAP Status</t>
  </si>
  <si>
    <t xml:space="preserve">Develop Third-Party Risk Management Procedure; assign vendor risk owners</t>
  </si>
  <si>
    <t xml:space="preserve">Critical</t>
  </si>
  <si>
    <t xml:space="preserve">No formal vendor risk process</t>
  </si>
  <si>
    <t xml:space="preserve">Pending</t>
  </si>
  <si>
    <t xml:space="preserve">In Progress</t>
  </si>
  <si>
    <t xml:space="preserve">Complete IS risk assessments for 7 outstanding vendors</t>
  </si>
  <si>
    <t xml:space="preserve">30 May 2025</t>
  </si>
  <si>
    <t xml:space="preserve">Not Started</t>
  </si>
  <si>
    <t xml:space="preserve">Add IS assessment to supplier onboarding checklist</t>
  </si>
  <si>
    <t xml:space="preserve">High</t>
  </si>
  <si>
    <t xml:space="preserve">Issue immediate mandatory training to 42 overdue staff</t>
  </si>
  <si>
    <t xml:space="preserve">No automated LMS escalation</t>
  </si>
  <si>
    <t xml:space="preserve">Configure LMS automated reminders at 14-day and 3-day deadlines</t>
  </si>
  <si>
    <t xml:space="preserve">Medium</t>
  </si>
  <si>
    <t xml:space="preserve">Complete overdue Q4 2024 privileged access review</t>
  </si>
  <si>
    <t xml:space="preserve">Manual scheduling with no tracking</t>
  </si>
  <si>
    <t xml:space="preserve">05 Apr 2025</t>
  </si>
  <si>
    <t xml:space="preserve">Implement automated ticketing for quarterly access reviews</t>
  </si>
  <si>
    <t xml:space="preserve">Integrate HRIS with IAM for auto account suspension on offboarding</t>
  </si>
  <si>
    <t xml:space="preserve">Manual HR-to-IT notification</t>
  </si>
  <si>
    <t xml:space="preserve">Weekly audit of active accounts vs current employee list</t>
  </si>
  <si>
    <t xml:space="preserve">Schedule and conduct tabletop DR exercise</t>
  </si>
  <si>
    <t xml:space="preserve">DR testing not in ISMS calendar</t>
  </si>
  <si>
    <t xml:space="preserve">Establish baseline for 3 KPIs (MTTP, Phishing Rate, Vendor Risk Score)</t>
  </si>
  <si>
    <t xml:space="preserve">KPIs defined without tooling</t>
  </si>
  <si>
    <t xml:space="preserve">Update RACI to clarify DPO vs CISO responsibilities</t>
  </si>
  <si>
    <t xml:space="preserve">Low</t>
  </si>
  <si>
    <t xml:space="preserve">Roles not updated after DPO appointment</t>
  </si>
  <si>
    <t xml:space="preserve">TrustPay Ltd — ISO 27001:2022 Internal Audit Summary Dashboard</t>
  </si>
  <si>
    <t xml:space="preserve">Lead Auditor: Sandra Aganyi | Audit Period: Q1 2025 | Report Date: 31 March 2025</t>
  </si>
  <si>
    <t xml:space="preserve">KEY AUDIT METRICS</t>
  </si>
  <si>
    <t xml:space="preserve">7</t>
  </si>
  <si>
    <t xml:space="preserve">1</t>
  </si>
  <si>
    <t xml:space="preserve">3</t>
  </si>
  <si>
    <t xml:space="preserve">2</t>
  </si>
  <si>
    <t xml:space="preserve">Total Findings</t>
  </si>
  <si>
    <t xml:space="preserve">Major NCs</t>
  </si>
  <si>
    <t xml:space="preserve">Minor NCs</t>
  </si>
  <si>
    <t xml:space="preserve">OFIs</t>
  </si>
  <si>
    <t xml:space="preserve">Observations</t>
  </si>
  <si>
    <t xml:space="preserve">FINDINGS BY ISO CLAUSE</t>
  </si>
  <si>
    <t xml:space="preserve">Clause / Domain</t>
  </si>
  <si>
    <t xml:space="preserve">Major NC</t>
  </si>
  <si>
    <t xml:space="preserve">Minor NC</t>
  </si>
  <si>
    <t xml:space="preserve">Clause 7 – Support</t>
  </si>
  <si>
    <t xml:space="preserve">Clause 8 – Operations</t>
  </si>
  <si>
    <t xml:space="preserve">Clause 9 – Performance</t>
  </si>
  <si>
    <t xml:space="preserve">Clause 5 – Leadership</t>
  </si>
  <si>
    <t xml:space="preserve">TOTAL</t>
  </si>
  <si>
    <t xml:space="preserve">OVERALL ISMS CONFORMANCE ASSESSMENT</t>
  </si>
  <si>
    <t xml:space="preserve">Audit Coverage</t>
  </si>
  <si>
    <t xml:space="preserve">11 of 11 clauses/domains audited</t>
  </si>
  <si>
    <t xml:space="preserve">100%</t>
  </si>
  <si>
    <t xml:space="preserve">Evidence Adequacy</t>
  </si>
  <si>
    <t xml:space="preserve">Avg 86% across 25 evidence items</t>
  </si>
  <si>
    <t xml:space="preserve">86%</t>
  </si>
  <si>
    <t xml:space="preserve">Major Nonconformities</t>
  </si>
  <si>
    <t xml:space="preserve">1 open — vendor risk management</t>
  </si>
  <si>
    <t xml:space="preserve">1 Open</t>
  </si>
  <si>
    <t xml:space="preserve">Minor Nonconformities</t>
  </si>
  <si>
    <t xml:space="preserve">3 open — training, access mgmt, offboarding</t>
  </si>
  <si>
    <t xml:space="preserve">3 Open</t>
  </si>
  <si>
    <t xml:space="preserve">Overall ISMS Maturity</t>
  </si>
  <si>
    <t xml:space="preserve">Largely conformant; targeted gaps requiring CAP</t>
  </si>
  <si>
    <t xml:space="preserve">CONDITIONAL</t>
  </si>
  <si>
    <t xml:space="preserve">AUDITOR SIGN-OFF</t>
  </si>
  <si>
    <t xml:space="preserve">I, Sandra Aganyi (ISO/IEC 27001:2022 Lead Auditor | ISC2 CC | Cisco CCST), confirm that this internal audit was conducted objectively and in accordance with the ISO/IEC 27001:2022 standard and TrustPay Ltd's ISMS audit procedure. All findings are based on evidence reviewed during the audit period and are documented in the accompanying Findings Register and Evidence Checklist. Corrective actions have been assigned and are tracked in the Corrective Action Tracker.</t>
  </si>
  <si>
    <t xml:space="preserve">Signed: Sandra Aganyi ________________________</t>
  </si>
  <si>
    <t xml:space="preserve">Date: 31 March 2025</t>
  </si>
</sst>
</file>

<file path=xl/styles.xml><?xml version="1.0" encoding="utf-8"?>
<styleSheet xmlns="http://schemas.openxmlformats.org/spreadsheetml/2006/main">
  <numFmts count="3">
    <numFmt numFmtId="164" formatCode="General"/>
    <numFmt numFmtId="165" formatCode="0\%"/>
    <numFmt numFmtId="166" formatCode="General"/>
  </numFmts>
  <fonts count="2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3"/>
      <color rgb="FFFFFFFF"/>
      <name val="Arial"/>
      <family val="0"/>
      <charset val="1"/>
    </font>
    <font>
      <b val="true"/>
      <sz val="10"/>
      <color rgb="FF1B2A4A"/>
      <name val="Arial"/>
      <family val="0"/>
      <charset val="1"/>
    </font>
    <font>
      <sz val="10"/>
      <color rgb="FF1A1A1A"/>
      <name val="Arial"/>
      <family val="0"/>
      <charset val="1"/>
    </font>
    <font>
      <b val="true"/>
      <sz val="11"/>
      <color rgb="FFFFFFFF"/>
      <name val="Arial"/>
      <family val="0"/>
      <charset val="1"/>
    </font>
    <font>
      <b val="true"/>
      <sz val="10"/>
      <color rgb="FFFFFFFF"/>
      <name val="Arial"/>
      <family val="0"/>
      <charset val="1"/>
    </font>
    <font>
      <b val="true"/>
      <sz val="10"/>
      <color rgb="FF1A7A4A"/>
      <name val="Arial"/>
      <family val="0"/>
      <charset val="1"/>
    </font>
    <font>
      <b val="true"/>
      <sz val="14"/>
      <color rgb="FFFFFFFF"/>
      <name val="Arial"/>
      <family val="0"/>
      <charset val="1"/>
    </font>
    <font>
      <sz val="9"/>
      <color rgb="FF1A1A1A"/>
      <name val="Arial"/>
      <family val="0"/>
      <charset val="1"/>
    </font>
    <font>
      <b val="true"/>
      <sz val="9"/>
      <color rgb="FF1A7A4A"/>
      <name val="Arial"/>
      <family val="0"/>
      <charset val="1"/>
    </font>
    <font>
      <b val="true"/>
      <sz val="9"/>
      <color rgb="FFE67E22"/>
      <name val="Arial"/>
      <family val="0"/>
      <charset val="1"/>
    </font>
    <font>
      <b val="true"/>
      <sz val="9"/>
      <color rgb="FF1B2A4A"/>
      <name val="Arial"/>
      <family val="0"/>
      <charset val="1"/>
    </font>
    <font>
      <b val="true"/>
      <sz val="10"/>
      <color rgb="FF09494A"/>
      <name val="Arial"/>
      <family val="0"/>
      <charset val="1"/>
    </font>
    <font>
      <b val="true"/>
      <sz val="9"/>
      <color rgb="FFC0392B"/>
      <name val="Arial"/>
      <family val="0"/>
      <charset val="1"/>
    </font>
    <font>
      <b val="true"/>
      <sz val="9"/>
      <color rgb="FF0D6E6E"/>
      <name val="Arial"/>
      <family val="0"/>
      <charset val="1"/>
    </font>
    <font>
      <b val="true"/>
      <sz val="9"/>
      <color rgb="FF09494A"/>
      <name val="Arial"/>
      <family val="0"/>
      <charset val="1"/>
    </font>
    <font>
      <b val="true"/>
      <sz val="28"/>
      <color rgb="FFFFFFFF"/>
      <name val="Arial"/>
      <family val="0"/>
      <charset val="1"/>
    </font>
    <font>
      <b val="true"/>
      <sz val="9"/>
      <color rgb="FFFFFFFF"/>
      <name val="Arial"/>
      <family val="0"/>
      <charset val="1"/>
    </font>
  </fonts>
  <fills count="13">
    <fill>
      <patternFill patternType="none"/>
    </fill>
    <fill>
      <patternFill patternType="gray125"/>
    </fill>
    <fill>
      <patternFill patternType="solid">
        <fgColor rgb="FF1B2A4A"/>
        <bgColor rgb="FF1A1A1A"/>
      </patternFill>
    </fill>
    <fill>
      <patternFill patternType="solid">
        <fgColor rgb="FF0D6E6E"/>
        <bgColor rgb="FF1A7A4A"/>
      </patternFill>
    </fill>
    <fill>
      <patternFill patternType="solid">
        <fgColor rgb="FFF2F4F7"/>
        <bgColor rgb="FFEAF1FB"/>
      </patternFill>
    </fill>
    <fill>
      <patternFill patternType="solid">
        <fgColor rgb="FFFFFFFF"/>
        <bgColor rgb="FFF2F4F7"/>
      </patternFill>
    </fill>
    <fill>
      <patternFill patternType="solid">
        <fgColor rgb="FFE6F4ED"/>
        <bgColor rgb="FFEAF1FB"/>
      </patternFill>
    </fill>
    <fill>
      <patternFill patternType="solid">
        <fgColor rgb="FFFEF3E2"/>
        <bgColor rgb="FFFDECEA"/>
      </patternFill>
    </fill>
    <fill>
      <patternFill patternType="solid">
        <fgColor rgb="FFFDECEA"/>
        <bgColor rgb="FFFEF3E2"/>
      </patternFill>
    </fill>
    <fill>
      <patternFill patternType="solid">
        <fgColor rgb="FFEAF1FB"/>
        <bgColor rgb="FFF2F4F7"/>
      </patternFill>
    </fill>
    <fill>
      <patternFill patternType="solid">
        <fgColor rgb="FFC0392B"/>
        <bgColor rgb="FF993366"/>
      </patternFill>
    </fill>
    <fill>
      <patternFill patternType="solid">
        <fgColor rgb="FFE67E22"/>
        <bgColor rgb="FFFF9900"/>
      </patternFill>
    </fill>
    <fill>
      <patternFill patternType="solid">
        <fgColor rgb="FFD0D5DD"/>
        <bgColor rgb="FFBDBDBD"/>
      </patternFill>
    </fill>
  </fills>
  <borders count="4">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thin">
        <color rgb="FFBDBDBD"/>
      </left>
      <right/>
      <top style="thin">
        <color rgb="FFBDBDBD"/>
      </top>
      <bottom style="thin">
        <color rgb="FFBDBDBD"/>
      </bottom>
      <diagonal/>
    </border>
    <border diagonalUp="false" diagonalDown="false">
      <left style="thin">
        <color rgb="FFBDBDBD"/>
      </left>
      <right/>
      <top style="thin">
        <color rgb="FFBDBDB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11" fillId="2"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5" fontId="12" fillId="6"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5" fontId="12" fillId="7" borderId="1" xfId="0" applyFont="true" applyBorder="true" applyAlignment="true" applyProtection="false">
      <alignment horizontal="center" vertical="center" textRotation="0" wrapText="true" indent="0" shrinkToFit="false"/>
      <protection locked="true" hidden="false"/>
    </xf>
    <xf numFmtId="165" fontId="12" fillId="8"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6" fontId="16" fillId="5"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9" fillId="9"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5" fontId="12" fillId="5"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20" fillId="2" borderId="0" xfId="0" applyFont="true" applyBorder="true" applyAlignment="true" applyProtection="false">
      <alignment horizontal="center" vertical="center" textRotation="0" wrapText="true" indent="0" shrinkToFit="false"/>
      <protection locked="true" hidden="false"/>
    </xf>
    <xf numFmtId="164" fontId="20" fillId="10" borderId="0" xfId="0" applyFont="true" applyBorder="true" applyAlignment="true" applyProtection="false">
      <alignment horizontal="center" vertical="center" textRotation="0" wrapText="true" indent="0" shrinkToFit="false"/>
      <protection locked="true" hidden="false"/>
    </xf>
    <xf numFmtId="164" fontId="20" fillId="11" borderId="0" xfId="0" applyFont="true" applyBorder="true" applyAlignment="true" applyProtection="false">
      <alignment horizontal="center" vertical="center" textRotation="0" wrapText="true" indent="0" shrinkToFit="false"/>
      <protection locked="true" hidden="false"/>
    </xf>
    <xf numFmtId="164" fontId="20" fillId="3" borderId="0" xfId="0" applyFont="true" applyBorder="true" applyAlignment="true" applyProtection="false">
      <alignment horizontal="center" vertical="center" textRotation="0" wrapText="true" indent="0" shrinkToFit="false"/>
      <protection locked="true" hidden="false"/>
    </xf>
    <xf numFmtId="164" fontId="20" fillId="12" borderId="0" xfId="0" applyFont="true" applyBorder="true" applyAlignment="true" applyProtection="false">
      <alignment horizontal="center" vertical="center" textRotation="0" wrapText="true" indent="0" shrinkToFit="false"/>
      <protection locked="true" hidden="false"/>
    </xf>
    <xf numFmtId="164" fontId="21" fillId="2" borderId="0" xfId="0" applyFont="true" applyBorder="true" applyAlignment="true" applyProtection="false">
      <alignment horizontal="center" vertical="center" textRotation="0" wrapText="true" indent="0" shrinkToFit="false"/>
      <protection locked="true" hidden="false"/>
    </xf>
    <xf numFmtId="164" fontId="21" fillId="10" borderId="0" xfId="0" applyFont="true" applyBorder="true" applyAlignment="true" applyProtection="false">
      <alignment horizontal="center" vertical="center" textRotation="0" wrapText="true" indent="0" shrinkToFit="false"/>
      <protection locked="true" hidden="false"/>
    </xf>
    <xf numFmtId="164" fontId="21" fillId="11" borderId="0" xfId="0" applyFont="true" applyBorder="true" applyAlignment="true" applyProtection="false">
      <alignment horizontal="center" vertical="center" textRotation="0" wrapText="true" indent="0" shrinkToFit="false"/>
      <protection locked="true" hidden="false"/>
    </xf>
    <xf numFmtId="164" fontId="21" fillId="3" borderId="0" xfId="0" applyFont="true" applyBorder="true" applyAlignment="true" applyProtection="false">
      <alignment horizontal="center" vertical="center" textRotation="0" wrapText="true" indent="0" shrinkToFit="false"/>
      <protection locked="true" hidden="false"/>
    </xf>
    <xf numFmtId="164" fontId="21" fillId="12" borderId="0"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D6E6E"/>
      <rgbColor rgb="FFBDBDBD"/>
      <rgbColor rgb="FF808080"/>
      <rgbColor rgb="FF9999FF"/>
      <rgbColor rgb="FF993366"/>
      <rgbColor rgb="FFFEF3E2"/>
      <rgbColor rgb="FFE6F4ED"/>
      <rgbColor rgb="FF660066"/>
      <rgbColor rgb="FFFF8080"/>
      <rgbColor rgb="FF0066CC"/>
      <rgbColor rgb="FFD0D5DD"/>
      <rgbColor rgb="FF000080"/>
      <rgbColor rgb="FFFF00FF"/>
      <rgbColor rgb="FFFFFF00"/>
      <rgbColor rgb="FF00FFFF"/>
      <rgbColor rgb="FF800080"/>
      <rgbColor rgb="FF800000"/>
      <rgbColor rgb="FF1A7A4A"/>
      <rgbColor rgb="FF0000FF"/>
      <rgbColor rgb="FF00CCFF"/>
      <rgbColor rgb="FFEAF1FB"/>
      <rgbColor rgb="FFF2F4F7"/>
      <rgbColor rgb="FFFDECEA"/>
      <rgbColor rgb="FF99CCFF"/>
      <rgbColor rgb="FFFF99CC"/>
      <rgbColor rgb="FFCC99FF"/>
      <rgbColor rgb="FFFFCC99"/>
      <rgbColor rgb="FF3366FF"/>
      <rgbColor rgb="FF33CCCC"/>
      <rgbColor rgb="FF99CC00"/>
      <rgbColor rgb="FFFFCC00"/>
      <rgbColor rgb="FFFF9900"/>
      <rgbColor rgb="FFE67E22"/>
      <rgbColor rgb="FF666699"/>
      <rgbColor rgb="FF969696"/>
      <rgbColor rgb="FF09494A"/>
      <rgbColor rgb="FF339966"/>
      <rgbColor rgb="FF003300"/>
      <rgbColor rgb="FF1A1A1A"/>
      <rgbColor rgb="FFC0392B"/>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8"/>
    <col collapsed="false" customWidth="true" hidden="false" outlineLevel="0" max="4" min="4" style="0" width="22"/>
    <col collapsed="false" customWidth="true" hidden="false" outlineLevel="0" max="5" min="5" style="0" width="20"/>
    <col collapsed="false" customWidth="true" hidden="false" outlineLevel="0" max="6" min="6" style="0" width="16"/>
    <col collapsed="false" customWidth="true" hidden="false" outlineLevel="0" max="7" min="7" style="0" width="10"/>
    <col collapsed="false" customWidth="true" hidden="false" outlineLevel="0" max="8" min="8" style="0" width="12"/>
  </cols>
  <sheetData>
    <row r="1" customFormat="false" ht="9.75" hidden="false" customHeight="true" outlineLevel="0" collapsed="false"/>
    <row r="2" customFormat="false" ht="39.75" hidden="false" customHeight="true" outlineLevel="0" collapsed="false">
      <c r="A2" s="1" t="s">
        <v>0</v>
      </c>
      <c r="B2" s="1"/>
      <c r="C2" s="1"/>
      <c r="D2" s="1"/>
      <c r="E2" s="1"/>
      <c r="F2" s="1"/>
      <c r="G2" s="1"/>
      <c r="H2" s="1"/>
    </row>
    <row r="3" customFormat="false" ht="24" hidden="false" customHeight="true" outlineLevel="0" collapsed="false">
      <c r="A3" s="2" t="s">
        <v>1</v>
      </c>
      <c r="B3" s="2"/>
      <c r="C3" s="2"/>
      <c r="D3" s="2"/>
      <c r="E3" s="2"/>
      <c r="F3" s="2"/>
      <c r="G3" s="2"/>
      <c r="H3" s="2"/>
    </row>
    <row r="4" customFormat="false" ht="19.5" hidden="false" customHeight="true" outlineLevel="0" collapsed="false">
      <c r="A4" s="3" t="s">
        <v>2</v>
      </c>
      <c r="B4" s="4" t="s">
        <v>3</v>
      </c>
      <c r="C4" s="4"/>
      <c r="D4" s="4"/>
      <c r="E4" s="4"/>
      <c r="F4" s="4"/>
      <c r="G4" s="4"/>
      <c r="H4" s="4"/>
    </row>
    <row r="5" customFormat="false" ht="19.5" hidden="false" customHeight="true" outlineLevel="0" collapsed="false">
      <c r="A5" s="3" t="s">
        <v>4</v>
      </c>
      <c r="B5" s="4" t="s">
        <v>5</v>
      </c>
      <c r="C5" s="4"/>
      <c r="D5" s="4"/>
      <c r="E5" s="4"/>
      <c r="F5" s="4"/>
      <c r="G5" s="4"/>
      <c r="H5" s="4"/>
    </row>
    <row r="6" customFormat="false" ht="19.5" hidden="false" customHeight="true" outlineLevel="0" collapsed="false">
      <c r="A6" s="3" t="s">
        <v>6</v>
      </c>
      <c r="B6" s="4" t="s">
        <v>7</v>
      </c>
      <c r="C6" s="4"/>
      <c r="D6" s="4"/>
      <c r="E6" s="4"/>
      <c r="F6" s="4"/>
      <c r="G6" s="4"/>
      <c r="H6" s="4"/>
    </row>
    <row r="7" customFormat="false" ht="19.5" hidden="false" customHeight="true" outlineLevel="0" collapsed="false">
      <c r="A7" s="3" t="s">
        <v>8</v>
      </c>
      <c r="B7" s="4" t="s">
        <v>9</v>
      </c>
      <c r="C7" s="4"/>
      <c r="D7" s="4"/>
      <c r="E7" s="4"/>
      <c r="F7" s="4"/>
      <c r="G7" s="4"/>
      <c r="H7" s="4"/>
    </row>
    <row r="8" customFormat="false" ht="19.5" hidden="false" customHeight="true" outlineLevel="0" collapsed="false">
      <c r="A8" s="3" t="s">
        <v>10</v>
      </c>
      <c r="B8" s="4" t="s">
        <v>11</v>
      </c>
      <c r="C8" s="4"/>
      <c r="D8" s="4"/>
      <c r="E8" s="4"/>
      <c r="F8" s="4"/>
      <c r="G8" s="4"/>
      <c r="H8" s="4"/>
    </row>
    <row r="10" customFormat="false" ht="6" hidden="false" customHeight="true" outlineLevel="0" collapsed="false"/>
    <row r="11" customFormat="false" ht="15" hidden="false" customHeight="true" outlineLevel="0" collapsed="false">
      <c r="A11" s="5" t="s">
        <v>12</v>
      </c>
      <c r="B11" s="5"/>
      <c r="C11" s="5"/>
      <c r="D11" s="5"/>
      <c r="E11" s="5"/>
      <c r="F11" s="5"/>
      <c r="G11" s="5"/>
      <c r="H11" s="5"/>
    </row>
    <row r="12" customFormat="false" ht="30" hidden="false" customHeight="true" outlineLevel="0" collapsed="false">
      <c r="A12" s="6" t="s">
        <v>13</v>
      </c>
      <c r="B12" s="6" t="s">
        <v>14</v>
      </c>
      <c r="C12" s="6" t="s">
        <v>15</v>
      </c>
      <c r="D12" s="6" t="s">
        <v>16</v>
      </c>
      <c r="E12" s="6" t="s">
        <v>17</v>
      </c>
      <c r="F12" s="6" t="s">
        <v>18</v>
      </c>
      <c r="G12" s="6" t="s">
        <v>19</v>
      </c>
      <c r="H12" s="6" t="s">
        <v>20</v>
      </c>
    </row>
    <row r="13" customFormat="false" ht="27.75" hidden="false" customHeight="true" outlineLevel="0" collapsed="false">
      <c r="A13" s="7" t="n">
        <v>1</v>
      </c>
      <c r="B13" s="8" t="s">
        <v>21</v>
      </c>
      <c r="C13" s="8" t="s">
        <v>22</v>
      </c>
      <c r="D13" s="8" t="s">
        <v>23</v>
      </c>
      <c r="E13" s="8" t="s">
        <v>24</v>
      </c>
      <c r="F13" s="7" t="s">
        <v>25</v>
      </c>
      <c r="G13" s="7" t="s">
        <v>26</v>
      </c>
      <c r="H13" s="9" t="s">
        <v>27</v>
      </c>
    </row>
    <row r="14" customFormat="false" ht="27.75" hidden="false" customHeight="true" outlineLevel="0" collapsed="false">
      <c r="A14" s="10" t="n">
        <v>2</v>
      </c>
      <c r="B14" s="11" t="s">
        <v>28</v>
      </c>
      <c r="C14" s="11" t="s">
        <v>29</v>
      </c>
      <c r="D14" s="11" t="s">
        <v>30</v>
      </c>
      <c r="E14" s="11" t="s">
        <v>31</v>
      </c>
      <c r="F14" s="10" t="s">
        <v>32</v>
      </c>
      <c r="G14" s="10" t="s">
        <v>26</v>
      </c>
      <c r="H14" s="9" t="s">
        <v>27</v>
      </c>
    </row>
    <row r="15" customFormat="false" ht="27.75" hidden="false" customHeight="true" outlineLevel="0" collapsed="false">
      <c r="A15" s="7" t="n">
        <v>3</v>
      </c>
      <c r="B15" s="8" t="s">
        <v>33</v>
      </c>
      <c r="C15" s="8" t="s">
        <v>34</v>
      </c>
      <c r="D15" s="8" t="s">
        <v>35</v>
      </c>
      <c r="E15" s="8" t="s">
        <v>24</v>
      </c>
      <c r="F15" s="7" t="s">
        <v>36</v>
      </c>
      <c r="G15" s="7" t="s">
        <v>37</v>
      </c>
      <c r="H15" s="9" t="s">
        <v>27</v>
      </c>
    </row>
    <row r="16" customFormat="false" ht="27.75" hidden="false" customHeight="true" outlineLevel="0" collapsed="false">
      <c r="A16" s="10" t="n">
        <v>4</v>
      </c>
      <c r="B16" s="11" t="s">
        <v>38</v>
      </c>
      <c r="C16" s="11" t="s">
        <v>39</v>
      </c>
      <c r="D16" s="11" t="s">
        <v>40</v>
      </c>
      <c r="E16" s="11" t="s">
        <v>41</v>
      </c>
      <c r="F16" s="10" t="s">
        <v>42</v>
      </c>
      <c r="G16" s="10" t="s">
        <v>26</v>
      </c>
      <c r="H16" s="9" t="s">
        <v>27</v>
      </c>
    </row>
    <row r="17" customFormat="false" ht="27.75" hidden="false" customHeight="true" outlineLevel="0" collapsed="false">
      <c r="A17" s="7" t="n">
        <v>5</v>
      </c>
      <c r="B17" s="8" t="s">
        <v>43</v>
      </c>
      <c r="C17" s="8" t="s">
        <v>44</v>
      </c>
      <c r="D17" s="8" t="s">
        <v>45</v>
      </c>
      <c r="E17" s="8" t="s">
        <v>46</v>
      </c>
      <c r="F17" s="7" t="s">
        <v>47</v>
      </c>
      <c r="G17" s="7" t="s">
        <v>48</v>
      </c>
      <c r="H17" s="9" t="s">
        <v>27</v>
      </c>
    </row>
    <row r="18" customFormat="false" ht="27.75" hidden="false" customHeight="true" outlineLevel="0" collapsed="false">
      <c r="A18" s="10" t="n">
        <v>6</v>
      </c>
      <c r="B18" s="11" t="s">
        <v>49</v>
      </c>
      <c r="C18" s="11" t="s">
        <v>50</v>
      </c>
      <c r="D18" s="11" t="s">
        <v>51</v>
      </c>
      <c r="E18" s="11" t="s">
        <v>24</v>
      </c>
      <c r="F18" s="10" t="s">
        <v>52</v>
      </c>
      <c r="G18" s="10" t="s">
        <v>26</v>
      </c>
      <c r="H18" s="9" t="s">
        <v>27</v>
      </c>
    </row>
    <row r="19" customFormat="false" ht="27.75" hidden="false" customHeight="true" outlineLevel="0" collapsed="false">
      <c r="A19" s="7" t="n">
        <v>7</v>
      </c>
      <c r="B19" s="8" t="s">
        <v>53</v>
      </c>
      <c r="C19" s="8" t="s">
        <v>54</v>
      </c>
      <c r="D19" s="8" t="s">
        <v>55</v>
      </c>
      <c r="E19" s="8" t="s">
        <v>24</v>
      </c>
      <c r="F19" s="7" t="s">
        <v>56</v>
      </c>
      <c r="G19" s="7" t="s">
        <v>26</v>
      </c>
      <c r="H19" s="9" t="s">
        <v>27</v>
      </c>
    </row>
    <row r="20" customFormat="false" ht="27.75" hidden="false" customHeight="true" outlineLevel="0" collapsed="false">
      <c r="A20" s="10" t="n">
        <v>8</v>
      </c>
      <c r="B20" s="11" t="s">
        <v>57</v>
      </c>
      <c r="C20" s="11" t="s">
        <v>58</v>
      </c>
      <c r="D20" s="11" t="s">
        <v>59</v>
      </c>
      <c r="E20" s="11" t="s">
        <v>60</v>
      </c>
      <c r="F20" s="10" t="s">
        <v>61</v>
      </c>
      <c r="G20" s="10" t="s">
        <v>37</v>
      </c>
      <c r="H20" s="9" t="s">
        <v>27</v>
      </c>
    </row>
    <row r="21" customFormat="false" ht="27.75" hidden="false" customHeight="true" outlineLevel="0" collapsed="false">
      <c r="A21" s="7" t="n">
        <v>9</v>
      </c>
      <c r="B21" s="8" t="s">
        <v>62</v>
      </c>
      <c r="C21" s="8" t="s">
        <v>63</v>
      </c>
      <c r="D21" s="8" t="s">
        <v>40</v>
      </c>
      <c r="E21" s="8" t="s">
        <v>41</v>
      </c>
      <c r="F21" s="7" t="s">
        <v>64</v>
      </c>
      <c r="G21" s="7" t="s">
        <v>26</v>
      </c>
      <c r="H21" s="9" t="s">
        <v>27</v>
      </c>
    </row>
    <row r="22" customFormat="false" ht="27.75" hidden="false" customHeight="true" outlineLevel="0" collapsed="false">
      <c r="A22" s="10" t="n">
        <v>10</v>
      </c>
      <c r="B22" s="11" t="s">
        <v>65</v>
      </c>
      <c r="C22" s="11" t="s">
        <v>66</v>
      </c>
      <c r="D22" s="11" t="s">
        <v>67</v>
      </c>
      <c r="E22" s="11" t="s">
        <v>68</v>
      </c>
      <c r="F22" s="10" t="s">
        <v>69</v>
      </c>
      <c r="G22" s="10" t="s">
        <v>26</v>
      </c>
      <c r="H22" s="9" t="s">
        <v>27</v>
      </c>
    </row>
    <row r="23" customFormat="false" ht="27.75" hidden="false" customHeight="true" outlineLevel="0" collapsed="false">
      <c r="A23" s="7" t="n">
        <v>11</v>
      </c>
      <c r="B23" s="8" t="s">
        <v>70</v>
      </c>
      <c r="C23" s="8" t="s">
        <v>71</v>
      </c>
      <c r="D23" s="8" t="s">
        <v>72</v>
      </c>
      <c r="E23" s="8" t="s">
        <v>73</v>
      </c>
      <c r="F23" s="7" t="s">
        <v>74</v>
      </c>
      <c r="G23" s="7" t="s">
        <v>75</v>
      </c>
      <c r="H23" s="9" t="s">
        <v>27</v>
      </c>
    </row>
    <row r="26" customFormat="false" ht="7.5" hidden="false" customHeight="true" outlineLevel="0" collapsed="false"/>
    <row r="27" customFormat="false" ht="15" hidden="false" customHeight="true" outlineLevel="0" collapsed="false">
      <c r="A27" s="5" t="s">
        <v>76</v>
      </c>
      <c r="B27" s="5"/>
      <c r="C27" s="5"/>
      <c r="D27" s="5"/>
      <c r="E27" s="5"/>
      <c r="F27" s="5"/>
      <c r="G27" s="5"/>
      <c r="H27" s="5"/>
    </row>
    <row r="28" customFormat="false" ht="19.5" hidden="false" customHeight="true" outlineLevel="0" collapsed="false">
      <c r="A28" s="12" t="s">
        <v>77</v>
      </c>
      <c r="B28" s="12"/>
      <c r="C28" s="12"/>
      <c r="D28" s="12"/>
      <c r="E28" s="12"/>
      <c r="F28" s="12"/>
      <c r="G28" s="12"/>
      <c r="H28" s="12"/>
    </row>
    <row r="29" customFormat="false" ht="19.5" hidden="false" customHeight="true" outlineLevel="0" collapsed="false">
      <c r="A29" s="13" t="s">
        <v>78</v>
      </c>
      <c r="B29" s="13"/>
      <c r="C29" s="13"/>
      <c r="D29" s="13"/>
      <c r="E29" s="13"/>
      <c r="F29" s="13"/>
      <c r="G29" s="13"/>
      <c r="H29" s="13"/>
    </row>
    <row r="30" customFormat="false" ht="19.5" hidden="false" customHeight="true" outlineLevel="0" collapsed="false">
      <c r="A30" s="12" t="s">
        <v>79</v>
      </c>
      <c r="B30" s="12"/>
      <c r="C30" s="12"/>
      <c r="D30" s="12"/>
      <c r="E30" s="12"/>
      <c r="F30" s="12"/>
      <c r="G30" s="12"/>
      <c r="H30" s="12"/>
    </row>
    <row r="31" customFormat="false" ht="19.5" hidden="false" customHeight="true" outlineLevel="0" collapsed="false">
      <c r="A31" s="13" t="s">
        <v>80</v>
      </c>
      <c r="B31" s="13"/>
      <c r="C31" s="13"/>
      <c r="D31" s="13"/>
      <c r="E31" s="13"/>
      <c r="F31" s="13"/>
      <c r="G31" s="13"/>
      <c r="H31" s="13"/>
    </row>
    <row r="32" customFormat="false" ht="19.5" hidden="false" customHeight="true" outlineLevel="0" collapsed="false">
      <c r="A32" s="12" t="s">
        <v>81</v>
      </c>
      <c r="B32" s="12"/>
      <c r="C32" s="12"/>
      <c r="D32" s="12"/>
      <c r="E32" s="12"/>
      <c r="F32" s="12"/>
      <c r="G32" s="12"/>
      <c r="H32" s="12"/>
    </row>
  </sheetData>
  <mergeCells count="14">
    <mergeCell ref="A2:H2"/>
    <mergeCell ref="A3:H3"/>
    <mergeCell ref="B4:H4"/>
    <mergeCell ref="B5:H5"/>
    <mergeCell ref="B6:H6"/>
    <mergeCell ref="B7:H7"/>
    <mergeCell ref="B8:H8"/>
    <mergeCell ref="A11:H11"/>
    <mergeCell ref="A27:H27"/>
    <mergeCell ref="A28:H28"/>
    <mergeCell ref="A29:H29"/>
    <mergeCell ref="A30:H30"/>
    <mergeCell ref="A31:H31"/>
    <mergeCell ref="A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6"/>
    <col collapsed="false" customWidth="true" hidden="false" outlineLevel="0" max="4" min="4" style="0" width="28"/>
    <col collapsed="false" customWidth="true" hidden="false" outlineLevel="0" max="5" min="5" style="0" width="20"/>
    <col collapsed="false" customWidth="true" hidden="false" outlineLevel="0" max="6" min="6" style="0" width="18"/>
    <col collapsed="false" customWidth="true" hidden="false" outlineLevel="0" max="8" min="7" style="0" width="15"/>
    <col collapsed="false" customWidth="true" hidden="false" outlineLevel="0" max="9" min="9" style="0" width="22"/>
  </cols>
  <sheetData>
    <row r="1" customFormat="false" ht="34.5" hidden="false" customHeight="true" outlineLevel="0" collapsed="false">
      <c r="A1" s="14" t="s">
        <v>82</v>
      </c>
      <c r="B1" s="14"/>
      <c r="C1" s="14"/>
      <c r="D1" s="14"/>
      <c r="E1" s="14"/>
      <c r="F1" s="14"/>
      <c r="G1" s="14"/>
      <c r="H1" s="14"/>
      <c r="I1" s="14"/>
    </row>
    <row r="2" customFormat="false" ht="21.75" hidden="false" customHeight="true" outlineLevel="0" collapsed="false">
      <c r="A2" s="15" t="s">
        <v>83</v>
      </c>
      <c r="B2" s="15"/>
      <c r="C2" s="15"/>
      <c r="D2" s="15"/>
      <c r="E2" s="15"/>
      <c r="F2" s="15"/>
      <c r="G2" s="15"/>
      <c r="H2" s="15"/>
      <c r="I2" s="15"/>
    </row>
    <row r="3" customFormat="false" ht="30" hidden="false" customHeight="true" outlineLevel="0" collapsed="false">
      <c r="A3" s="6" t="s">
        <v>13</v>
      </c>
      <c r="B3" s="6" t="s">
        <v>84</v>
      </c>
      <c r="C3" s="6" t="s">
        <v>85</v>
      </c>
      <c r="D3" s="6" t="s">
        <v>86</v>
      </c>
      <c r="E3" s="6" t="s">
        <v>87</v>
      </c>
      <c r="F3" s="6" t="s">
        <v>88</v>
      </c>
      <c r="G3" s="6" t="s">
        <v>89</v>
      </c>
      <c r="H3" s="6" t="s">
        <v>90</v>
      </c>
      <c r="I3" s="6" t="s">
        <v>91</v>
      </c>
    </row>
    <row r="4" customFormat="false" ht="30" hidden="false" customHeight="true" outlineLevel="0" collapsed="false">
      <c r="A4" s="16" t="n">
        <v>1</v>
      </c>
      <c r="B4" s="17" t="s">
        <v>92</v>
      </c>
      <c r="C4" s="17" t="s">
        <v>93</v>
      </c>
      <c r="D4" s="17" t="s">
        <v>94</v>
      </c>
      <c r="E4" s="17" t="s">
        <v>95</v>
      </c>
      <c r="F4" s="17" t="s">
        <v>96</v>
      </c>
      <c r="G4" s="18" t="s">
        <v>97</v>
      </c>
      <c r="H4" s="19" t="n">
        <v>100</v>
      </c>
      <c r="I4" s="17" t="s">
        <v>98</v>
      </c>
    </row>
    <row r="5" customFormat="false" ht="30" hidden="false" customHeight="true" outlineLevel="0" collapsed="false">
      <c r="A5" s="20" t="n">
        <v>2</v>
      </c>
      <c r="B5" s="21" t="s">
        <v>92</v>
      </c>
      <c r="C5" s="21" t="s">
        <v>99</v>
      </c>
      <c r="D5" s="21" t="s">
        <v>100</v>
      </c>
      <c r="E5" s="21" t="s">
        <v>101</v>
      </c>
      <c r="F5" s="21" t="s">
        <v>96</v>
      </c>
      <c r="G5" s="18" t="s">
        <v>97</v>
      </c>
      <c r="H5" s="19" t="n">
        <v>100</v>
      </c>
      <c r="I5" s="21" t="s">
        <v>102</v>
      </c>
    </row>
    <row r="6" customFormat="false" ht="30" hidden="false" customHeight="true" outlineLevel="0" collapsed="false">
      <c r="A6" s="16" t="n">
        <v>3</v>
      </c>
      <c r="B6" s="17" t="s">
        <v>103</v>
      </c>
      <c r="C6" s="17" t="s">
        <v>104</v>
      </c>
      <c r="D6" s="17" t="s">
        <v>105</v>
      </c>
      <c r="E6" s="17" t="s">
        <v>106</v>
      </c>
      <c r="F6" s="17" t="s">
        <v>25</v>
      </c>
      <c r="G6" s="18" t="s">
        <v>97</v>
      </c>
      <c r="H6" s="19" t="n">
        <v>100</v>
      </c>
      <c r="I6" s="17" t="s">
        <v>107</v>
      </c>
    </row>
    <row r="7" customFormat="false" ht="30" hidden="false" customHeight="true" outlineLevel="0" collapsed="false">
      <c r="A7" s="20" t="n">
        <v>4</v>
      </c>
      <c r="B7" s="21" t="s">
        <v>103</v>
      </c>
      <c r="C7" s="21" t="s">
        <v>108</v>
      </c>
      <c r="D7" s="21" t="s">
        <v>109</v>
      </c>
      <c r="E7" s="21" t="s">
        <v>110</v>
      </c>
      <c r="F7" s="21" t="s">
        <v>25</v>
      </c>
      <c r="G7" s="22" t="s">
        <v>111</v>
      </c>
      <c r="H7" s="23" t="n">
        <v>70</v>
      </c>
      <c r="I7" s="21" t="s">
        <v>112</v>
      </c>
    </row>
    <row r="8" customFormat="false" ht="30" hidden="false" customHeight="true" outlineLevel="0" collapsed="false">
      <c r="A8" s="16" t="n">
        <v>5</v>
      </c>
      <c r="B8" s="17" t="s">
        <v>113</v>
      </c>
      <c r="C8" s="17" t="s">
        <v>114</v>
      </c>
      <c r="D8" s="17" t="s">
        <v>115</v>
      </c>
      <c r="E8" s="17" t="s">
        <v>116</v>
      </c>
      <c r="F8" s="17" t="s">
        <v>32</v>
      </c>
      <c r="G8" s="18" t="s">
        <v>97</v>
      </c>
      <c r="H8" s="19" t="n">
        <v>100</v>
      </c>
      <c r="I8" s="17" t="s">
        <v>117</v>
      </c>
    </row>
    <row r="9" customFormat="false" ht="30" hidden="false" customHeight="true" outlineLevel="0" collapsed="false">
      <c r="A9" s="20" t="n">
        <v>6</v>
      </c>
      <c r="B9" s="21" t="s">
        <v>113</v>
      </c>
      <c r="C9" s="21" t="s">
        <v>118</v>
      </c>
      <c r="D9" s="21" t="s">
        <v>119</v>
      </c>
      <c r="E9" s="21" t="s">
        <v>120</v>
      </c>
      <c r="F9" s="21" t="s">
        <v>32</v>
      </c>
      <c r="G9" s="18" t="s">
        <v>97</v>
      </c>
      <c r="H9" s="19" t="n">
        <v>95</v>
      </c>
      <c r="I9" s="21" t="s">
        <v>121</v>
      </c>
    </row>
    <row r="10" customFormat="false" ht="30" hidden="false" customHeight="true" outlineLevel="0" collapsed="false">
      <c r="A10" s="16" t="n">
        <v>7</v>
      </c>
      <c r="B10" s="17" t="s">
        <v>113</v>
      </c>
      <c r="C10" s="17" t="s">
        <v>122</v>
      </c>
      <c r="D10" s="17" t="s">
        <v>123</v>
      </c>
      <c r="E10" s="17" t="s">
        <v>124</v>
      </c>
      <c r="F10" s="17" t="s">
        <v>32</v>
      </c>
      <c r="G10" s="18" t="s">
        <v>97</v>
      </c>
      <c r="H10" s="19" t="n">
        <v>100</v>
      </c>
      <c r="I10" s="17" t="s">
        <v>125</v>
      </c>
    </row>
    <row r="11" customFormat="false" ht="30" hidden="false" customHeight="true" outlineLevel="0" collapsed="false">
      <c r="A11" s="20" t="n">
        <v>8</v>
      </c>
      <c r="B11" s="21" t="s">
        <v>126</v>
      </c>
      <c r="C11" s="21" t="s">
        <v>127</v>
      </c>
      <c r="D11" s="21" t="s">
        <v>128</v>
      </c>
      <c r="E11" s="21" t="s">
        <v>129</v>
      </c>
      <c r="F11" s="21" t="s">
        <v>130</v>
      </c>
      <c r="G11" s="22" t="s">
        <v>111</v>
      </c>
      <c r="H11" s="23" t="n">
        <v>65</v>
      </c>
      <c r="I11" s="21" t="s">
        <v>131</v>
      </c>
    </row>
    <row r="12" customFormat="false" ht="30" hidden="false" customHeight="true" outlineLevel="0" collapsed="false">
      <c r="A12" s="16" t="n">
        <v>9</v>
      </c>
      <c r="B12" s="17" t="s">
        <v>126</v>
      </c>
      <c r="C12" s="17" t="s">
        <v>132</v>
      </c>
      <c r="D12" s="17" t="s">
        <v>133</v>
      </c>
      <c r="E12" s="17" t="s">
        <v>134</v>
      </c>
      <c r="F12" s="17" t="s">
        <v>130</v>
      </c>
      <c r="G12" s="18" t="s">
        <v>97</v>
      </c>
      <c r="H12" s="19" t="n">
        <v>90</v>
      </c>
      <c r="I12" s="17" t="s">
        <v>135</v>
      </c>
    </row>
    <row r="13" customFormat="false" ht="30" hidden="false" customHeight="true" outlineLevel="0" collapsed="false">
      <c r="A13" s="20" t="n">
        <v>10</v>
      </c>
      <c r="B13" s="21" t="s">
        <v>136</v>
      </c>
      <c r="C13" s="21" t="s">
        <v>137</v>
      </c>
      <c r="D13" s="21" t="s">
        <v>138</v>
      </c>
      <c r="E13" s="21" t="s">
        <v>139</v>
      </c>
      <c r="F13" s="21" t="s">
        <v>140</v>
      </c>
      <c r="G13" s="18" t="s">
        <v>97</v>
      </c>
      <c r="H13" s="19" t="n">
        <v>100</v>
      </c>
      <c r="I13" s="21" t="s">
        <v>141</v>
      </c>
    </row>
    <row r="14" customFormat="false" ht="30" hidden="false" customHeight="true" outlineLevel="0" collapsed="false">
      <c r="A14" s="16" t="n">
        <v>11</v>
      </c>
      <c r="B14" s="17" t="s">
        <v>136</v>
      </c>
      <c r="C14" s="17" t="s">
        <v>142</v>
      </c>
      <c r="D14" s="17" t="s">
        <v>143</v>
      </c>
      <c r="E14" s="17" t="s">
        <v>144</v>
      </c>
      <c r="F14" s="17" t="s">
        <v>140</v>
      </c>
      <c r="G14" s="18" t="s">
        <v>97</v>
      </c>
      <c r="H14" s="19" t="n">
        <v>100</v>
      </c>
      <c r="I14" s="17" t="s">
        <v>145</v>
      </c>
    </row>
    <row r="15" customFormat="false" ht="30" hidden="false" customHeight="true" outlineLevel="0" collapsed="false">
      <c r="A15" s="20" t="n">
        <v>12</v>
      </c>
      <c r="B15" s="21" t="s">
        <v>136</v>
      </c>
      <c r="C15" s="21" t="s">
        <v>146</v>
      </c>
      <c r="D15" s="21" t="s">
        <v>147</v>
      </c>
      <c r="E15" s="21" t="s">
        <v>148</v>
      </c>
      <c r="F15" s="21" t="s">
        <v>140</v>
      </c>
      <c r="G15" s="22" t="s">
        <v>111</v>
      </c>
      <c r="H15" s="23" t="n">
        <v>60</v>
      </c>
      <c r="I15" s="21" t="s">
        <v>149</v>
      </c>
    </row>
    <row r="16" customFormat="false" ht="30" hidden="false" customHeight="true" outlineLevel="0" collapsed="false">
      <c r="A16" s="16" t="n">
        <v>13</v>
      </c>
      <c r="B16" s="17" t="s">
        <v>150</v>
      </c>
      <c r="C16" s="17" t="s">
        <v>151</v>
      </c>
      <c r="D16" s="17" t="s">
        <v>152</v>
      </c>
      <c r="E16" s="17" t="s">
        <v>153</v>
      </c>
      <c r="F16" s="17" t="s">
        <v>52</v>
      </c>
      <c r="G16" s="18" t="s">
        <v>97</v>
      </c>
      <c r="H16" s="19" t="n">
        <v>100</v>
      </c>
      <c r="I16" s="17" t="s">
        <v>154</v>
      </c>
    </row>
    <row r="17" customFormat="false" ht="30" hidden="false" customHeight="true" outlineLevel="0" collapsed="false">
      <c r="A17" s="20" t="n">
        <v>14</v>
      </c>
      <c r="B17" s="21" t="s">
        <v>150</v>
      </c>
      <c r="C17" s="21" t="s">
        <v>155</v>
      </c>
      <c r="D17" s="21" t="s">
        <v>156</v>
      </c>
      <c r="E17" s="21" t="s">
        <v>157</v>
      </c>
      <c r="F17" s="21" t="s">
        <v>52</v>
      </c>
      <c r="G17" s="18" t="s">
        <v>97</v>
      </c>
      <c r="H17" s="19" t="n">
        <v>100</v>
      </c>
      <c r="I17" s="21" t="s">
        <v>158</v>
      </c>
    </row>
    <row r="18" customFormat="false" ht="30" hidden="false" customHeight="true" outlineLevel="0" collapsed="false">
      <c r="A18" s="16" t="n">
        <v>15</v>
      </c>
      <c r="B18" s="17" t="s">
        <v>150</v>
      </c>
      <c r="C18" s="17" t="s">
        <v>159</v>
      </c>
      <c r="D18" s="17" t="s">
        <v>160</v>
      </c>
      <c r="E18" s="17" t="s">
        <v>161</v>
      </c>
      <c r="F18" s="17" t="s">
        <v>52</v>
      </c>
      <c r="G18" s="22" t="s">
        <v>111</v>
      </c>
      <c r="H18" s="23" t="n">
        <v>75</v>
      </c>
      <c r="I18" s="17" t="s">
        <v>162</v>
      </c>
    </row>
    <row r="19" customFormat="false" ht="30" hidden="false" customHeight="true" outlineLevel="0" collapsed="false">
      <c r="A19" s="20" t="n">
        <v>16</v>
      </c>
      <c r="B19" s="21" t="s">
        <v>163</v>
      </c>
      <c r="C19" s="21" t="s">
        <v>164</v>
      </c>
      <c r="D19" s="21" t="s">
        <v>165</v>
      </c>
      <c r="E19" s="21" t="s">
        <v>166</v>
      </c>
      <c r="F19" s="21" t="s">
        <v>56</v>
      </c>
      <c r="G19" s="18" t="s">
        <v>97</v>
      </c>
      <c r="H19" s="19" t="n">
        <v>100</v>
      </c>
      <c r="I19" s="21" t="s">
        <v>167</v>
      </c>
    </row>
    <row r="20" customFormat="false" ht="30" hidden="false" customHeight="true" outlineLevel="0" collapsed="false">
      <c r="A20" s="16" t="n">
        <v>17</v>
      </c>
      <c r="B20" s="17" t="s">
        <v>168</v>
      </c>
      <c r="C20" s="17" t="s">
        <v>169</v>
      </c>
      <c r="D20" s="17" t="s">
        <v>170</v>
      </c>
      <c r="E20" s="17" t="s">
        <v>171</v>
      </c>
      <c r="F20" s="17" t="s">
        <v>61</v>
      </c>
      <c r="G20" s="18" t="s">
        <v>97</v>
      </c>
      <c r="H20" s="19" t="n">
        <v>95</v>
      </c>
      <c r="I20" s="17" t="s">
        <v>172</v>
      </c>
    </row>
    <row r="21" customFormat="false" ht="30" hidden="false" customHeight="true" outlineLevel="0" collapsed="false">
      <c r="A21" s="20" t="n">
        <v>18</v>
      </c>
      <c r="B21" s="21" t="s">
        <v>168</v>
      </c>
      <c r="C21" s="21" t="s">
        <v>173</v>
      </c>
      <c r="D21" s="21" t="s">
        <v>174</v>
      </c>
      <c r="E21" s="21" t="s">
        <v>175</v>
      </c>
      <c r="F21" s="21" t="s">
        <v>61</v>
      </c>
      <c r="G21" s="22" t="s">
        <v>111</v>
      </c>
      <c r="H21" s="24" t="n">
        <v>55</v>
      </c>
      <c r="I21" s="21" t="s">
        <v>176</v>
      </c>
    </row>
    <row r="22" customFormat="false" ht="30" hidden="false" customHeight="true" outlineLevel="0" collapsed="false">
      <c r="A22" s="16" t="n">
        <v>19</v>
      </c>
      <c r="B22" s="17" t="s">
        <v>62</v>
      </c>
      <c r="C22" s="17" t="s">
        <v>177</v>
      </c>
      <c r="D22" s="17" t="s">
        <v>178</v>
      </c>
      <c r="E22" s="17" t="s">
        <v>179</v>
      </c>
      <c r="F22" s="17" t="s">
        <v>64</v>
      </c>
      <c r="G22" s="18" t="s">
        <v>97</v>
      </c>
      <c r="H22" s="19" t="n">
        <v>100</v>
      </c>
      <c r="I22" s="17" t="s">
        <v>180</v>
      </c>
    </row>
    <row r="23" customFormat="false" ht="30" hidden="false" customHeight="true" outlineLevel="0" collapsed="false">
      <c r="A23" s="20" t="n">
        <v>20</v>
      </c>
      <c r="B23" s="21" t="s">
        <v>62</v>
      </c>
      <c r="C23" s="21" t="s">
        <v>181</v>
      </c>
      <c r="D23" s="21" t="s">
        <v>182</v>
      </c>
      <c r="E23" s="21" t="s">
        <v>183</v>
      </c>
      <c r="F23" s="21" t="s">
        <v>64</v>
      </c>
      <c r="G23" s="22" t="s">
        <v>111</v>
      </c>
      <c r="H23" s="23" t="n">
        <v>70</v>
      </c>
      <c r="I23" s="21" t="s">
        <v>184</v>
      </c>
    </row>
    <row r="24" customFormat="false" ht="30" hidden="false" customHeight="true" outlineLevel="0" collapsed="false">
      <c r="A24" s="16" t="n">
        <v>21</v>
      </c>
      <c r="B24" s="17" t="s">
        <v>65</v>
      </c>
      <c r="C24" s="17" t="s">
        <v>185</v>
      </c>
      <c r="D24" s="17" t="s">
        <v>186</v>
      </c>
      <c r="E24" s="17" t="s">
        <v>187</v>
      </c>
      <c r="F24" s="17" t="s">
        <v>69</v>
      </c>
      <c r="G24" s="18" t="s">
        <v>97</v>
      </c>
      <c r="H24" s="19" t="n">
        <v>100</v>
      </c>
      <c r="I24" s="17" t="s">
        <v>188</v>
      </c>
    </row>
    <row r="25" customFormat="false" ht="30" hidden="false" customHeight="true" outlineLevel="0" collapsed="false">
      <c r="A25" s="20" t="n">
        <v>22</v>
      </c>
      <c r="B25" s="21" t="s">
        <v>189</v>
      </c>
      <c r="C25" s="21" t="s">
        <v>190</v>
      </c>
      <c r="D25" s="21" t="s">
        <v>191</v>
      </c>
      <c r="E25" s="21" t="s">
        <v>192</v>
      </c>
      <c r="F25" s="21" t="s">
        <v>74</v>
      </c>
      <c r="G25" s="22" t="s">
        <v>111</v>
      </c>
      <c r="H25" s="23" t="n">
        <v>60</v>
      </c>
      <c r="I25" s="21" t="s">
        <v>193</v>
      </c>
    </row>
    <row r="26" customFormat="false" ht="30" hidden="false" customHeight="true" outlineLevel="0" collapsed="false">
      <c r="A26" s="16" t="n">
        <v>23</v>
      </c>
      <c r="B26" s="17" t="s">
        <v>189</v>
      </c>
      <c r="C26" s="17" t="s">
        <v>194</v>
      </c>
      <c r="D26" s="17" t="s">
        <v>195</v>
      </c>
      <c r="E26" s="17" t="s">
        <v>196</v>
      </c>
      <c r="F26" s="17" t="s">
        <v>74</v>
      </c>
      <c r="G26" s="18" t="s">
        <v>97</v>
      </c>
      <c r="H26" s="19" t="n">
        <v>100</v>
      </c>
      <c r="I26" s="17" t="s">
        <v>197</v>
      </c>
    </row>
    <row r="27" customFormat="false" ht="30" hidden="false" customHeight="true" outlineLevel="0" collapsed="false">
      <c r="A27" s="20" t="n">
        <v>24</v>
      </c>
      <c r="B27" s="21" t="s">
        <v>189</v>
      </c>
      <c r="C27" s="21" t="s">
        <v>198</v>
      </c>
      <c r="D27" s="21" t="s">
        <v>199</v>
      </c>
      <c r="E27" s="21" t="s">
        <v>200</v>
      </c>
      <c r="F27" s="21" t="s">
        <v>74</v>
      </c>
      <c r="G27" s="18" t="s">
        <v>97</v>
      </c>
      <c r="H27" s="19" t="n">
        <v>90</v>
      </c>
      <c r="I27" s="21" t="s">
        <v>201</v>
      </c>
    </row>
    <row r="28" customFormat="false" ht="30" hidden="false" customHeight="true" outlineLevel="0" collapsed="false">
      <c r="A28" s="16" t="n">
        <v>25</v>
      </c>
      <c r="B28" s="17" t="s">
        <v>189</v>
      </c>
      <c r="C28" s="17" t="s">
        <v>202</v>
      </c>
      <c r="D28" s="17" t="s">
        <v>203</v>
      </c>
      <c r="E28" s="17" t="s">
        <v>204</v>
      </c>
      <c r="F28" s="17" t="s">
        <v>74</v>
      </c>
      <c r="G28" s="18" t="s">
        <v>97</v>
      </c>
      <c r="H28" s="19" t="n">
        <v>100</v>
      </c>
      <c r="I28" s="17" t="s">
        <v>205</v>
      </c>
    </row>
    <row r="30" customFormat="false" ht="7.5" hidden="false" customHeight="true" outlineLevel="0" collapsed="false"/>
    <row r="31" customFormat="false" ht="15" hidden="false" customHeight="true" outlineLevel="0" collapsed="false">
      <c r="A31" s="15" t="s">
        <v>206</v>
      </c>
      <c r="B31" s="15"/>
      <c r="C31" s="15"/>
      <c r="D31" s="15"/>
      <c r="E31" s="15"/>
      <c r="F31" s="15"/>
      <c r="G31" s="15"/>
      <c r="H31" s="15"/>
      <c r="I31" s="15"/>
    </row>
    <row r="32" customFormat="false" ht="21.75" hidden="false" customHeight="true" outlineLevel="0" collapsed="false">
      <c r="A32" s="25" t="s">
        <v>207</v>
      </c>
      <c r="B32" s="26" t="n">
        <f aca="false">COUNTA(B4:B28)</f>
        <v>25</v>
      </c>
      <c r="C32" s="25" t="s">
        <v>208</v>
      </c>
      <c r="D32" s="26" t="n">
        <f aca="false">COUNTIF(G4:G28,"Yes")</f>
        <v>18</v>
      </c>
      <c r="E32" s="25" t="s">
        <v>111</v>
      </c>
      <c r="F32" s="26" t="n">
        <f aca="false">COUNTIF(G4:G28,"Partial")</f>
        <v>7</v>
      </c>
      <c r="G32" s="25" t="s">
        <v>209</v>
      </c>
      <c r="H32" s="26" t="n">
        <f aca="false">COUNTIF(G4:G28,"No")</f>
        <v>0</v>
      </c>
      <c r="I32" s="25" t="s">
        <v>210</v>
      </c>
      <c r="J32" s="26" t="str">
        <f aca="false">AVERAGE(H4:H28)&amp;"%"</f>
        <v>89%</v>
      </c>
    </row>
  </sheetData>
  <mergeCells count="3">
    <mergeCell ref="A1:I1"/>
    <mergeCell ref="A2:I2"/>
    <mergeCell ref="A31:I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2"/>
    <col collapsed="false" customWidth="true" hidden="false" outlineLevel="0" max="4" min="4" style="0" width="12"/>
    <col collapsed="false" customWidth="true" hidden="false" outlineLevel="0" max="5" min="5" style="0" width="32"/>
    <col collapsed="false" customWidth="true" hidden="false" outlineLevel="0" max="6" min="6" style="0" width="28"/>
    <col collapsed="false" customWidth="true" hidden="false" outlineLevel="0" max="8" min="7" style="0" width="30"/>
    <col collapsed="false" customWidth="true" hidden="false" outlineLevel="0" max="9" min="9" style="0" width="14"/>
    <col collapsed="false" customWidth="true" hidden="false" outlineLevel="0" max="11" min="10" style="0" width="16"/>
  </cols>
  <sheetData>
    <row r="1" customFormat="false" ht="34.5" hidden="false" customHeight="true" outlineLevel="0" collapsed="false">
      <c r="A1" s="14" t="s">
        <v>211</v>
      </c>
      <c r="B1" s="14"/>
      <c r="C1" s="14"/>
      <c r="D1" s="14"/>
      <c r="E1" s="14"/>
      <c r="F1" s="14"/>
      <c r="G1" s="14"/>
      <c r="H1" s="14"/>
      <c r="I1" s="14"/>
      <c r="J1" s="14"/>
      <c r="K1" s="14"/>
    </row>
    <row r="2" customFormat="false" ht="21.75" hidden="false" customHeight="true" outlineLevel="0" collapsed="false">
      <c r="A2" s="15" t="s">
        <v>212</v>
      </c>
      <c r="B2" s="15"/>
      <c r="C2" s="15"/>
      <c r="D2" s="15"/>
      <c r="E2" s="15"/>
      <c r="F2" s="15"/>
      <c r="G2" s="15"/>
      <c r="H2" s="15"/>
      <c r="I2" s="15"/>
      <c r="J2" s="15"/>
      <c r="K2" s="15"/>
    </row>
    <row r="3" customFormat="false" ht="30" hidden="false" customHeight="true" outlineLevel="0" collapsed="false">
      <c r="A3" s="6" t="s">
        <v>213</v>
      </c>
      <c r="B3" s="6" t="s">
        <v>214</v>
      </c>
      <c r="C3" s="6" t="s">
        <v>84</v>
      </c>
      <c r="D3" s="6" t="s">
        <v>215</v>
      </c>
      <c r="E3" s="6" t="s">
        <v>216</v>
      </c>
      <c r="F3" s="6" t="s">
        <v>217</v>
      </c>
      <c r="G3" s="6" t="s">
        <v>218</v>
      </c>
      <c r="H3" s="6" t="s">
        <v>219</v>
      </c>
      <c r="I3" s="6" t="s">
        <v>220</v>
      </c>
      <c r="J3" s="6" t="s">
        <v>221</v>
      </c>
      <c r="K3" s="6" t="s">
        <v>20</v>
      </c>
    </row>
    <row r="4" customFormat="false" ht="90" hidden="false" customHeight="true" outlineLevel="0" collapsed="false">
      <c r="A4" s="16" t="s">
        <v>222</v>
      </c>
      <c r="B4" s="27" t="s">
        <v>223</v>
      </c>
      <c r="C4" s="16" t="s">
        <v>224</v>
      </c>
      <c r="D4" s="28" t="s">
        <v>225</v>
      </c>
      <c r="E4" s="17" t="s">
        <v>226</v>
      </c>
      <c r="F4" s="17" t="s">
        <v>227</v>
      </c>
      <c r="G4" s="17" t="s">
        <v>228</v>
      </c>
      <c r="H4" s="17" t="s">
        <v>229</v>
      </c>
      <c r="I4" s="16" t="s">
        <v>230</v>
      </c>
      <c r="J4" s="16" t="s">
        <v>231</v>
      </c>
      <c r="K4" s="16" t="s">
        <v>232</v>
      </c>
    </row>
    <row r="5" customFormat="false" ht="90" hidden="false" customHeight="true" outlineLevel="0" collapsed="false">
      <c r="A5" s="20" t="s">
        <v>233</v>
      </c>
      <c r="B5" s="29" t="s">
        <v>234</v>
      </c>
      <c r="C5" s="20" t="s">
        <v>235</v>
      </c>
      <c r="D5" s="22" t="s">
        <v>236</v>
      </c>
      <c r="E5" s="21" t="s">
        <v>237</v>
      </c>
      <c r="F5" s="21" t="s">
        <v>238</v>
      </c>
      <c r="G5" s="21" t="s">
        <v>239</v>
      </c>
      <c r="H5" s="21" t="s">
        <v>240</v>
      </c>
      <c r="I5" s="20" t="s">
        <v>241</v>
      </c>
      <c r="J5" s="20" t="s">
        <v>242</v>
      </c>
      <c r="K5" s="20" t="s">
        <v>232</v>
      </c>
    </row>
    <row r="6" customFormat="false" ht="90" hidden="false" customHeight="true" outlineLevel="0" collapsed="false">
      <c r="A6" s="16" t="s">
        <v>243</v>
      </c>
      <c r="B6" s="30" t="s">
        <v>234</v>
      </c>
      <c r="C6" s="16" t="s">
        <v>244</v>
      </c>
      <c r="D6" s="22" t="s">
        <v>236</v>
      </c>
      <c r="E6" s="17" t="s">
        <v>245</v>
      </c>
      <c r="F6" s="17" t="s">
        <v>246</v>
      </c>
      <c r="G6" s="17" t="s">
        <v>247</v>
      </c>
      <c r="H6" s="17" t="s">
        <v>248</v>
      </c>
      <c r="I6" s="16" t="s">
        <v>249</v>
      </c>
      <c r="J6" s="16" t="s">
        <v>250</v>
      </c>
      <c r="K6" s="16" t="s">
        <v>232</v>
      </c>
    </row>
    <row r="7" customFormat="false" ht="90" hidden="false" customHeight="true" outlineLevel="0" collapsed="false">
      <c r="A7" s="20" t="s">
        <v>251</v>
      </c>
      <c r="B7" s="29" t="s">
        <v>234</v>
      </c>
      <c r="C7" s="20" t="s">
        <v>252</v>
      </c>
      <c r="D7" s="22" t="s">
        <v>236</v>
      </c>
      <c r="E7" s="21" t="s">
        <v>253</v>
      </c>
      <c r="F7" s="21" t="s">
        <v>254</v>
      </c>
      <c r="G7" s="21" t="s">
        <v>255</v>
      </c>
      <c r="H7" s="21" t="s">
        <v>256</v>
      </c>
      <c r="I7" s="20" t="s">
        <v>230</v>
      </c>
      <c r="J7" s="20" t="s">
        <v>250</v>
      </c>
      <c r="K7" s="20" t="s">
        <v>232</v>
      </c>
    </row>
    <row r="8" customFormat="false" ht="90" hidden="false" customHeight="true" outlineLevel="0" collapsed="false">
      <c r="A8" s="16" t="s">
        <v>257</v>
      </c>
      <c r="B8" s="31" t="s">
        <v>258</v>
      </c>
      <c r="C8" s="16" t="s">
        <v>259</v>
      </c>
      <c r="D8" s="32" t="s">
        <v>260</v>
      </c>
      <c r="E8" s="17" t="s">
        <v>261</v>
      </c>
      <c r="F8" s="17" t="s">
        <v>262</v>
      </c>
      <c r="G8" s="17" t="s">
        <v>263</v>
      </c>
      <c r="H8" s="17" t="s">
        <v>264</v>
      </c>
      <c r="I8" s="16" t="s">
        <v>265</v>
      </c>
      <c r="J8" s="16" t="s">
        <v>266</v>
      </c>
      <c r="K8" s="16" t="s">
        <v>232</v>
      </c>
    </row>
    <row r="9" customFormat="false" ht="90" hidden="false" customHeight="true" outlineLevel="0" collapsed="false">
      <c r="A9" s="20" t="s">
        <v>267</v>
      </c>
      <c r="B9" s="33" t="s">
        <v>258</v>
      </c>
      <c r="C9" s="20" t="s">
        <v>268</v>
      </c>
      <c r="D9" s="32" t="s">
        <v>260</v>
      </c>
      <c r="E9" s="21" t="s">
        <v>269</v>
      </c>
      <c r="F9" s="21" t="s">
        <v>270</v>
      </c>
      <c r="G9" s="21" t="s">
        <v>271</v>
      </c>
      <c r="H9" s="21" t="s">
        <v>272</v>
      </c>
      <c r="I9" s="20" t="s">
        <v>273</v>
      </c>
      <c r="J9" s="20" t="s">
        <v>274</v>
      </c>
      <c r="K9" s="20" t="s">
        <v>232</v>
      </c>
    </row>
    <row r="10" customFormat="false" ht="90" hidden="false" customHeight="true" outlineLevel="0" collapsed="false">
      <c r="A10" s="16" t="s">
        <v>275</v>
      </c>
      <c r="B10" s="25" t="s">
        <v>276</v>
      </c>
      <c r="C10" s="16" t="s">
        <v>277</v>
      </c>
      <c r="D10" s="34" t="s">
        <v>278</v>
      </c>
      <c r="E10" s="17" t="s">
        <v>279</v>
      </c>
      <c r="F10" s="17" t="s">
        <v>280</v>
      </c>
      <c r="G10" s="17" t="s">
        <v>281</v>
      </c>
      <c r="H10" s="17" t="s">
        <v>282</v>
      </c>
      <c r="I10" s="16" t="s">
        <v>273</v>
      </c>
      <c r="J10" s="16" t="s">
        <v>283</v>
      </c>
      <c r="K10" s="16" t="s">
        <v>232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8"/>
    <col collapsed="false" customWidth="true" hidden="false" outlineLevel="0" max="4" min="4" style="0" width="12"/>
    <col collapsed="false" customWidth="true" hidden="false" outlineLevel="0" max="5" min="5" style="0" width="30"/>
    <col collapsed="false" customWidth="true" hidden="false" outlineLevel="0" max="6" min="6" style="0" width="20"/>
    <col collapsed="false" customWidth="true" hidden="false" outlineLevel="0" max="7" min="7" style="0" width="16"/>
    <col collapsed="false" customWidth="true" hidden="false" outlineLevel="0" max="8" min="8" style="0" width="14"/>
    <col collapsed="false" customWidth="true" hidden="false" outlineLevel="0" max="10" min="9" style="0" width="16"/>
    <col collapsed="false" customWidth="true" hidden="false" outlineLevel="0" max="11" min="11" style="0" width="18"/>
    <col collapsed="false" customWidth="true" hidden="false" outlineLevel="0" max="12" min="12" style="0" width="16"/>
  </cols>
  <sheetData>
    <row r="1" customFormat="false" ht="34.5" hidden="false" customHeight="true" outlineLevel="0" collapsed="false">
      <c r="A1" s="14" t="s">
        <v>284</v>
      </c>
      <c r="B1" s="14"/>
      <c r="C1" s="14"/>
      <c r="D1" s="14"/>
      <c r="E1" s="14"/>
      <c r="F1" s="14"/>
      <c r="G1" s="14"/>
      <c r="H1" s="14"/>
      <c r="I1" s="14"/>
      <c r="J1" s="14"/>
      <c r="K1" s="14"/>
      <c r="L1" s="14"/>
    </row>
    <row r="2" customFormat="false" ht="21.75" hidden="false" customHeight="true" outlineLevel="0" collapsed="false">
      <c r="A2" s="15" t="s">
        <v>285</v>
      </c>
      <c r="B2" s="15"/>
      <c r="C2" s="15"/>
      <c r="D2" s="15"/>
      <c r="E2" s="15"/>
      <c r="F2" s="15"/>
      <c r="G2" s="15"/>
      <c r="H2" s="15"/>
      <c r="I2" s="15"/>
      <c r="J2" s="15"/>
      <c r="K2" s="15"/>
      <c r="L2" s="15"/>
    </row>
    <row r="3" customFormat="false" ht="30" hidden="false" customHeight="true" outlineLevel="0" collapsed="false">
      <c r="A3" s="6" t="s">
        <v>286</v>
      </c>
      <c r="B3" s="6" t="s">
        <v>287</v>
      </c>
      <c r="C3" s="6" t="s">
        <v>288</v>
      </c>
      <c r="D3" s="6" t="s">
        <v>289</v>
      </c>
      <c r="E3" s="6" t="s">
        <v>290</v>
      </c>
      <c r="F3" s="6" t="s">
        <v>291</v>
      </c>
      <c r="G3" s="6" t="s">
        <v>220</v>
      </c>
      <c r="H3" s="6" t="s">
        <v>292</v>
      </c>
      <c r="I3" s="6" t="s">
        <v>293</v>
      </c>
      <c r="J3" s="6" t="s">
        <v>294</v>
      </c>
      <c r="K3" s="6" t="s">
        <v>295</v>
      </c>
      <c r="L3" s="6" t="s">
        <v>296</v>
      </c>
    </row>
    <row r="4" customFormat="false" ht="31.5" hidden="false" customHeight="true" outlineLevel="0" collapsed="false">
      <c r="A4" s="16" t="s">
        <v>222</v>
      </c>
      <c r="B4" s="17" t="s">
        <v>223</v>
      </c>
      <c r="C4" s="17" t="s">
        <v>297</v>
      </c>
      <c r="D4" s="35" t="s">
        <v>298</v>
      </c>
      <c r="E4" s="17" t="s">
        <v>299</v>
      </c>
      <c r="F4" s="17" t="s">
        <v>231</v>
      </c>
      <c r="G4" s="16" t="s">
        <v>230</v>
      </c>
      <c r="H4" s="36" t="n">
        <v>20</v>
      </c>
      <c r="I4" s="17"/>
      <c r="J4" s="17" t="s">
        <v>300</v>
      </c>
      <c r="K4" s="17"/>
      <c r="L4" s="22" t="s">
        <v>301</v>
      </c>
    </row>
    <row r="5" customFormat="false" ht="31.5" hidden="false" customHeight="true" outlineLevel="0" collapsed="false">
      <c r="A5" s="20" t="s">
        <v>222</v>
      </c>
      <c r="B5" s="21" t="s">
        <v>223</v>
      </c>
      <c r="C5" s="21" t="s">
        <v>302</v>
      </c>
      <c r="D5" s="35" t="s">
        <v>298</v>
      </c>
      <c r="E5" s="21" t="s">
        <v>299</v>
      </c>
      <c r="F5" s="21" t="s">
        <v>231</v>
      </c>
      <c r="G5" s="20" t="s">
        <v>303</v>
      </c>
      <c r="H5" s="37" t="n">
        <v>0</v>
      </c>
      <c r="I5" s="21"/>
      <c r="J5" s="21" t="s">
        <v>300</v>
      </c>
      <c r="K5" s="21"/>
      <c r="L5" s="28" t="s">
        <v>304</v>
      </c>
    </row>
    <row r="6" customFormat="false" ht="31.5" hidden="false" customHeight="true" outlineLevel="0" collapsed="false">
      <c r="A6" s="16" t="s">
        <v>222</v>
      </c>
      <c r="B6" s="17" t="s">
        <v>223</v>
      </c>
      <c r="C6" s="17" t="s">
        <v>305</v>
      </c>
      <c r="D6" s="38" t="s">
        <v>306</v>
      </c>
      <c r="E6" s="17" t="s">
        <v>299</v>
      </c>
      <c r="F6" s="17" t="s">
        <v>231</v>
      </c>
      <c r="G6" s="16" t="s">
        <v>241</v>
      </c>
      <c r="H6" s="36" t="n">
        <v>50</v>
      </c>
      <c r="I6" s="17"/>
      <c r="J6" s="17" t="s">
        <v>300</v>
      </c>
      <c r="K6" s="17"/>
      <c r="L6" s="22" t="s">
        <v>301</v>
      </c>
    </row>
    <row r="7" customFormat="false" ht="31.5" hidden="false" customHeight="true" outlineLevel="0" collapsed="false">
      <c r="A7" s="20" t="s">
        <v>233</v>
      </c>
      <c r="B7" s="21" t="s">
        <v>234</v>
      </c>
      <c r="C7" s="21" t="s">
        <v>307</v>
      </c>
      <c r="D7" s="38" t="s">
        <v>306</v>
      </c>
      <c r="E7" s="21" t="s">
        <v>308</v>
      </c>
      <c r="F7" s="21" t="s">
        <v>242</v>
      </c>
      <c r="G7" s="20" t="s">
        <v>241</v>
      </c>
      <c r="H7" s="37" t="n">
        <v>30</v>
      </c>
      <c r="I7" s="21"/>
      <c r="J7" s="21" t="s">
        <v>300</v>
      </c>
      <c r="K7" s="21"/>
      <c r="L7" s="22" t="s">
        <v>301</v>
      </c>
    </row>
    <row r="8" customFormat="false" ht="31.5" hidden="false" customHeight="true" outlineLevel="0" collapsed="false">
      <c r="A8" s="16" t="s">
        <v>233</v>
      </c>
      <c r="B8" s="17" t="s">
        <v>234</v>
      </c>
      <c r="C8" s="17" t="s">
        <v>309</v>
      </c>
      <c r="D8" s="39" t="s">
        <v>310</v>
      </c>
      <c r="E8" s="17" t="s">
        <v>308</v>
      </c>
      <c r="F8" s="17" t="s">
        <v>242</v>
      </c>
      <c r="G8" s="16" t="s">
        <v>230</v>
      </c>
      <c r="H8" s="36" t="n">
        <v>0</v>
      </c>
      <c r="I8" s="17"/>
      <c r="J8" s="17" t="s">
        <v>300</v>
      </c>
      <c r="K8" s="17"/>
      <c r="L8" s="28" t="s">
        <v>304</v>
      </c>
    </row>
    <row r="9" customFormat="false" ht="31.5" hidden="false" customHeight="true" outlineLevel="0" collapsed="false">
      <c r="A9" s="20" t="s">
        <v>243</v>
      </c>
      <c r="B9" s="21" t="s">
        <v>234</v>
      </c>
      <c r="C9" s="21" t="s">
        <v>311</v>
      </c>
      <c r="D9" s="38" t="s">
        <v>306</v>
      </c>
      <c r="E9" s="21" t="s">
        <v>312</v>
      </c>
      <c r="F9" s="21" t="s">
        <v>250</v>
      </c>
      <c r="G9" s="20" t="s">
        <v>313</v>
      </c>
      <c r="H9" s="37" t="n">
        <v>70</v>
      </c>
      <c r="I9" s="21"/>
      <c r="J9" s="21" t="s">
        <v>300</v>
      </c>
      <c r="K9" s="21"/>
      <c r="L9" s="22" t="s">
        <v>301</v>
      </c>
    </row>
    <row r="10" customFormat="false" ht="31.5" hidden="false" customHeight="true" outlineLevel="0" collapsed="false">
      <c r="A10" s="16" t="s">
        <v>243</v>
      </c>
      <c r="B10" s="17" t="s">
        <v>234</v>
      </c>
      <c r="C10" s="17" t="s">
        <v>314</v>
      </c>
      <c r="D10" s="39" t="s">
        <v>310</v>
      </c>
      <c r="E10" s="17" t="s">
        <v>312</v>
      </c>
      <c r="F10" s="17" t="s">
        <v>250</v>
      </c>
      <c r="G10" s="16" t="s">
        <v>230</v>
      </c>
      <c r="H10" s="36" t="n">
        <v>0</v>
      </c>
      <c r="I10" s="17"/>
      <c r="J10" s="17" t="s">
        <v>300</v>
      </c>
      <c r="K10" s="17"/>
      <c r="L10" s="28" t="s">
        <v>304</v>
      </c>
    </row>
    <row r="11" customFormat="false" ht="31.5" hidden="false" customHeight="true" outlineLevel="0" collapsed="false">
      <c r="A11" s="20" t="s">
        <v>251</v>
      </c>
      <c r="B11" s="21" t="s">
        <v>234</v>
      </c>
      <c r="C11" s="21" t="s">
        <v>315</v>
      </c>
      <c r="D11" s="38" t="s">
        <v>306</v>
      </c>
      <c r="E11" s="21" t="s">
        <v>316</v>
      </c>
      <c r="F11" s="21" t="s">
        <v>250</v>
      </c>
      <c r="G11" s="20" t="s">
        <v>230</v>
      </c>
      <c r="H11" s="37" t="n">
        <v>10</v>
      </c>
      <c r="I11" s="21"/>
      <c r="J11" s="21" t="s">
        <v>300</v>
      </c>
      <c r="K11" s="21"/>
      <c r="L11" s="22" t="s">
        <v>301</v>
      </c>
    </row>
    <row r="12" customFormat="false" ht="31.5" hidden="false" customHeight="true" outlineLevel="0" collapsed="false">
      <c r="A12" s="16" t="s">
        <v>251</v>
      </c>
      <c r="B12" s="17" t="s">
        <v>234</v>
      </c>
      <c r="C12" s="17" t="s">
        <v>317</v>
      </c>
      <c r="D12" s="39" t="s">
        <v>310</v>
      </c>
      <c r="E12" s="17" t="s">
        <v>316</v>
      </c>
      <c r="F12" s="17" t="s">
        <v>250</v>
      </c>
      <c r="G12" s="16" t="s">
        <v>241</v>
      </c>
      <c r="H12" s="36" t="n">
        <v>0</v>
      </c>
      <c r="I12" s="17"/>
      <c r="J12" s="17" t="s">
        <v>300</v>
      </c>
      <c r="K12" s="17"/>
      <c r="L12" s="28" t="s">
        <v>304</v>
      </c>
    </row>
    <row r="13" customFormat="false" ht="31.5" hidden="false" customHeight="true" outlineLevel="0" collapsed="false">
      <c r="A13" s="20" t="s">
        <v>257</v>
      </c>
      <c r="B13" s="21" t="s">
        <v>258</v>
      </c>
      <c r="C13" s="21" t="s">
        <v>318</v>
      </c>
      <c r="D13" s="39" t="s">
        <v>310</v>
      </c>
      <c r="E13" s="21" t="s">
        <v>319</v>
      </c>
      <c r="F13" s="21" t="s">
        <v>266</v>
      </c>
      <c r="G13" s="20" t="s">
        <v>265</v>
      </c>
      <c r="H13" s="37" t="n">
        <v>5</v>
      </c>
      <c r="I13" s="21"/>
      <c r="J13" s="21" t="s">
        <v>300</v>
      </c>
      <c r="K13" s="21"/>
      <c r="L13" s="22" t="s">
        <v>301</v>
      </c>
    </row>
    <row r="14" customFormat="false" ht="31.5" hidden="false" customHeight="true" outlineLevel="0" collapsed="false">
      <c r="A14" s="16" t="s">
        <v>267</v>
      </c>
      <c r="B14" s="17" t="s">
        <v>258</v>
      </c>
      <c r="C14" s="17" t="s">
        <v>320</v>
      </c>
      <c r="D14" s="39" t="s">
        <v>310</v>
      </c>
      <c r="E14" s="17" t="s">
        <v>321</v>
      </c>
      <c r="F14" s="17" t="s">
        <v>274</v>
      </c>
      <c r="G14" s="16" t="s">
        <v>273</v>
      </c>
      <c r="H14" s="36" t="n">
        <v>0</v>
      </c>
      <c r="I14" s="17"/>
      <c r="J14" s="17" t="s">
        <v>300</v>
      </c>
      <c r="K14" s="17"/>
      <c r="L14" s="28" t="s">
        <v>304</v>
      </c>
    </row>
    <row r="15" customFormat="false" ht="31.5" hidden="false" customHeight="true" outlineLevel="0" collapsed="false">
      <c r="A15" s="20" t="s">
        <v>275</v>
      </c>
      <c r="B15" s="21" t="s">
        <v>276</v>
      </c>
      <c r="C15" s="21" t="s">
        <v>322</v>
      </c>
      <c r="D15" s="16" t="s">
        <v>323</v>
      </c>
      <c r="E15" s="21" t="s">
        <v>324</v>
      </c>
      <c r="F15" s="21" t="s">
        <v>283</v>
      </c>
      <c r="G15" s="20" t="s">
        <v>273</v>
      </c>
      <c r="H15" s="37" t="n">
        <v>0</v>
      </c>
      <c r="I15" s="21"/>
      <c r="J15" s="21" t="s">
        <v>300</v>
      </c>
      <c r="K15" s="21"/>
      <c r="L15" s="28" t="s">
        <v>304</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5"/>
    <col collapsed="false" customWidth="true" hidden="false" outlineLevel="0" max="4" min="4" style="0" width="20"/>
    <col collapsed="false" customWidth="true" hidden="false" outlineLevel="0" max="6" min="5" style="0" width="15"/>
    <col collapsed="false" customWidth="true" hidden="false" outlineLevel="0" max="7" min="7" style="0" width="20"/>
    <col collapsed="false" customWidth="true" hidden="false" outlineLevel="0" max="10" min="8" style="0" width="15"/>
  </cols>
  <sheetData>
    <row r="1" customFormat="false" ht="39.75" hidden="false" customHeight="true" outlineLevel="0" collapsed="false">
      <c r="A1" s="1" t="s">
        <v>325</v>
      </c>
      <c r="B1" s="1"/>
      <c r="C1" s="1"/>
      <c r="D1" s="1"/>
      <c r="E1" s="1"/>
      <c r="F1" s="1"/>
      <c r="G1" s="1"/>
      <c r="H1" s="1"/>
      <c r="I1" s="1"/>
      <c r="J1" s="1"/>
    </row>
    <row r="2" customFormat="false" ht="24.75" hidden="false" customHeight="true" outlineLevel="0" collapsed="false">
      <c r="A2" s="5" t="s">
        <v>326</v>
      </c>
      <c r="B2" s="5"/>
      <c r="C2" s="5"/>
      <c r="D2" s="5"/>
      <c r="E2" s="5"/>
      <c r="F2" s="5"/>
      <c r="G2" s="5"/>
      <c r="H2" s="5"/>
      <c r="I2" s="5"/>
      <c r="J2" s="5"/>
    </row>
    <row r="4" customFormat="false" ht="9.75" hidden="false" customHeight="true" outlineLevel="0" collapsed="false"/>
    <row r="5" customFormat="false" ht="24.75" hidden="false" customHeight="true" outlineLevel="0" collapsed="false">
      <c r="A5" s="5" t="s">
        <v>327</v>
      </c>
      <c r="B5" s="5"/>
      <c r="C5" s="5"/>
      <c r="D5" s="5"/>
      <c r="E5" s="5"/>
      <c r="F5" s="5"/>
      <c r="G5" s="5"/>
      <c r="H5" s="5"/>
      <c r="I5" s="5"/>
      <c r="J5" s="5"/>
    </row>
    <row r="6" customFormat="false" ht="34.5" hidden="false" customHeight="true" outlineLevel="0" collapsed="false">
      <c r="A6" s="40" t="s">
        <v>328</v>
      </c>
      <c r="B6" s="40"/>
      <c r="C6" s="41" t="s">
        <v>329</v>
      </c>
      <c r="D6" s="41"/>
      <c r="E6" s="42" t="s">
        <v>330</v>
      </c>
      <c r="F6" s="42"/>
      <c r="G6" s="43" t="s">
        <v>331</v>
      </c>
      <c r="H6" s="43"/>
      <c r="I6" s="44" t="s">
        <v>329</v>
      </c>
      <c r="J6" s="44"/>
    </row>
    <row r="7" customFormat="false" ht="34.5" hidden="false" customHeight="true" outlineLevel="0" collapsed="false">
      <c r="A7" s="40"/>
      <c r="B7" s="40"/>
      <c r="C7" s="41"/>
      <c r="D7" s="41"/>
      <c r="E7" s="42"/>
      <c r="F7" s="42"/>
      <c r="G7" s="43"/>
      <c r="H7" s="43"/>
      <c r="I7" s="44"/>
      <c r="J7" s="44"/>
    </row>
    <row r="8" customFormat="false" ht="19.5" hidden="false" customHeight="true" outlineLevel="0" collapsed="false">
      <c r="A8" s="45" t="s">
        <v>332</v>
      </c>
      <c r="B8" s="45"/>
      <c r="C8" s="46" t="s">
        <v>333</v>
      </c>
      <c r="D8" s="46"/>
      <c r="E8" s="47" t="s">
        <v>334</v>
      </c>
      <c r="F8" s="47"/>
      <c r="G8" s="48" t="s">
        <v>335</v>
      </c>
      <c r="H8" s="48"/>
      <c r="I8" s="49" t="s">
        <v>336</v>
      </c>
      <c r="J8" s="49"/>
    </row>
    <row r="10" customFormat="false" ht="12" hidden="false" customHeight="true" outlineLevel="0" collapsed="false"/>
    <row r="11" customFormat="false" ht="21.75" hidden="false" customHeight="true" outlineLevel="0" collapsed="false">
      <c r="A11" s="5" t="s">
        <v>337</v>
      </c>
      <c r="B11" s="5"/>
      <c r="C11" s="5"/>
      <c r="D11" s="5"/>
      <c r="E11" s="5"/>
    </row>
    <row r="12" customFormat="false" ht="24.75" hidden="false" customHeight="true" outlineLevel="0" collapsed="false">
      <c r="A12" s="6" t="s">
        <v>338</v>
      </c>
      <c r="B12" s="6" t="s">
        <v>339</v>
      </c>
      <c r="C12" s="6" t="s">
        <v>340</v>
      </c>
      <c r="D12" s="6" t="s">
        <v>258</v>
      </c>
      <c r="E12" s="6" t="s">
        <v>276</v>
      </c>
    </row>
    <row r="13" customFormat="false" ht="21.75" hidden="false" customHeight="true" outlineLevel="0" collapsed="false">
      <c r="A13" s="21" t="s">
        <v>57</v>
      </c>
      <c r="B13" s="28" t="n">
        <v>1</v>
      </c>
      <c r="C13" s="22" t="n">
        <v>1</v>
      </c>
      <c r="D13" s="20" t="n">
        <v>0</v>
      </c>
      <c r="E13" s="20" t="n">
        <v>1</v>
      </c>
    </row>
    <row r="14" customFormat="false" ht="21.75" hidden="false" customHeight="true" outlineLevel="0" collapsed="false">
      <c r="A14" s="17" t="s">
        <v>62</v>
      </c>
      <c r="B14" s="16" t="n">
        <v>0</v>
      </c>
      <c r="C14" s="22" t="n">
        <v>1</v>
      </c>
      <c r="D14" s="16" t="n">
        <v>0</v>
      </c>
      <c r="E14" s="16" t="n">
        <v>0</v>
      </c>
    </row>
    <row r="15" customFormat="false" ht="21.75" hidden="false" customHeight="true" outlineLevel="0" collapsed="false">
      <c r="A15" s="21" t="s">
        <v>65</v>
      </c>
      <c r="B15" s="20" t="n">
        <v>0</v>
      </c>
      <c r="C15" s="20" t="n">
        <v>0</v>
      </c>
      <c r="D15" s="20" t="n">
        <v>0</v>
      </c>
      <c r="E15" s="20" t="n">
        <v>0</v>
      </c>
    </row>
    <row r="16" customFormat="false" ht="21.75" hidden="false" customHeight="true" outlineLevel="0" collapsed="false">
      <c r="A16" s="17" t="s">
        <v>70</v>
      </c>
      <c r="B16" s="16" t="n">
        <v>0</v>
      </c>
      <c r="C16" s="22" t="n">
        <v>1</v>
      </c>
      <c r="D16" s="16" t="n">
        <v>0</v>
      </c>
      <c r="E16" s="16" t="n">
        <v>0</v>
      </c>
    </row>
    <row r="17" customFormat="false" ht="21.75" hidden="false" customHeight="true" outlineLevel="0" collapsed="false">
      <c r="A17" s="21" t="s">
        <v>341</v>
      </c>
      <c r="B17" s="20" t="n">
        <v>0</v>
      </c>
      <c r="C17" s="22" t="n">
        <v>1</v>
      </c>
      <c r="D17" s="20" t="n">
        <v>0</v>
      </c>
      <c r="E17" s="20" t="n">
        <v>0</v>
      </c>
    </row>
    <row r="18" customFormat="false" ht="21.75" hidden="false" customHeight="true" outlineLevel="0" collapsed="false">
      <c r="A18" s="17" t="s">
        <v>342</v>
      </c>
      <c r="B18" s="16" t="n">
        <v>0</v>
      </c>
      <c r="C18" s="16" t="n">
        <v>0</v>
      </c>
      <c r="D18" s="16" t="n">
        <v>1</v>
      </c>
      <c r="E18" s="16" t="n">
        <v>0</v>
      </c>
    </row>
    <row r="19" customFormat="false" ht="21.75" hidden="false" customHeight="true" outlineLevel="0" collapsed="false">
      <c r="A19" s="21" t="s">
        <v>343</v>
      </c>
      <c r="B19" s="20" t="n">
        <v>0</v>
      </c>
      <c r="C19" s="20" t="n">
        <v>0</v>
      </c>
      <c r="D19" s="20" t="n">
        <v>1</v>
      </c>
      <c r="E19" s="20" t="n">
        <v>0</v>
      </c>
    </row>
    <row r="20" customFormat="false" ht="21.75" hidden="false" customHeight="true" outlineLevel="0" collapsed="false">
      <c r="A20" s="17" t="s">
        <v>344</v>
      </c>
      <c r="B20" s="16" t="n">
        <v>0</v>
      </c>
      <c r="C20" s="16" t="n">
        <v>0</v>
      </c>
      <c r="D20" s="16" t="n">
        <v>0</v>
      </c>
      <c r="E20" s="16" t="n">
        <v>1</v>
      </c>
    </row>
    <row r="21" customFormat="false" ht="21.75" hidden="false" customHeight="true" outlineLevel="0" collapsed="false">
      <c r="A21" s="6" t="s">
        <v>345</v>
      </c>
      <c r="B21" s="6" t="n">
        <f aca="false">SUM(B13:B20)</f>
        <v>1</v>
      </c>
      <c r="C21" s="6" t="n">
        <f aca="false">SUM(C13:C20)</f>
        <v>4</v>
      </c>
      <c r="D21" s="6" t="n">
        <f aca="false">SUM(D13:D20)</f>
        <v>2</v>
      </c>
      <c r="E21" s="6" t="n">
        <f aca="false">SUM(E13:E20)</f>
        <v>2</v>
      </c>
    </row>
    <row r="23" customFormat="false" ht="12" hidden="false" customHeight="true" outlineLevel="0" collapsed="false"/>
    <row r="24" customFormat="false" ht="24.75" hidden="false" customHeight="true" outlineLevel="0" collapsed="false">
      <c r="A24" s="5" t="s">
        <v>346</v>
      </c>
      <c r="B24" s="5"/>
      <c r="C24" s="5"/>
      <c r="D24" s="5"/>
      <c r="E24" s="5"/>
    </row>
    <row r="25" customFormat="false" ht="25.5" hidden="false" customHeight="true" outlineLevel="0" collapsed="false">
      <c r="A25" s="50" t="s">
        <v>347</v>
      </c>
      <c r="B25" s="21" t="s">
        <v>348</v>
      </c>
      <c r="C25" s="21"/>
      <c r="D25" s="21"/>
      <c r="E25" s="18" t="s">
        <v>349</v>
      </c>
    </row>
    <row r="26" customFormat="false" ht="25.5" hidden="false" customHeight="true" outlineLevel="0" collapsed="false">
      <c r="A26" s="50" t="s">
        <v>350</v>
      </c>
      <c r="B26" s="21" t="s">
        <v>351</v>
      </c>
      <c r="C26" s="21"/>
      <c r="D26" s="21"/>
      <c r="E26" s="18" t="s">
        <v>352</v>
      </c>
    </row>
    <row r="27" customFormat="false" ht="25.5" hidden="false" customHeight="true" outlineLevel="0" collapsed="false">
      <c r="A27" s="50" t="s">
        <v>353</v>
      </c>
      <c r="B27" s="21" t="s">
        <v>354</v>
      </c>
      <c r="C27" s="21"/>
      <c r="D27" s="21"/>
      <c r="E27" s="28" t="s">
        <v>355</v>
      </c>
    </row>
    <row r="28" customFormat="false" ht="25.5" hidden="false" customHeight="true" outlineLevel="0" collapsed="false">
      <c r="A28" s="50" t="s">
        <v>356</v>
      </c>
      <c r="B28" s="21" t="s">
        <v>357</v>
      </c>
      <c r="C28" s="21"/>
      <c r="D28" s="21"/>
      <c r="E28" s="22" t="s">
        <v>358</v>
      </c>
    </row>
    <row r="29" customFormat="false" ht="25.5" hidden="false" customHeight="true" outlineLevel="0" collapsed="false">
      <c r="A29" s="50" t="s">
        <v>359</v>
      </c>
      <c r="B29" s="21" t="s">
        <v>360</v>
      </c>
      <c r="C29" s="21"/>
      <c r="D29" s="21"/>
      <c r="E29" s="22" t="s">
        <v>361</v>
      </c>
    </row>
    <row r="32" customFormat="false" ht="15" hidden="false" customHeight="true" outlineLevel="0" collapsed="false"/>
    <row r="33" customFormat="false" ht="21.75" hidden="false" customHeight="true" outlineLevel="0" collapsed="false">
      <c r="A33" s="5" t="s">
        <v>362</v>
      </c>
      <c r="B33" s="5"/>
      <c r="C33" s="5"/>
      <c r="D33" s="5"/>
      <c r="E33" s="5"/>
      <c r="F33" s="5"/>
      <c r="G33" s="5"/>
      <c r="H33" s="5"/>
      <c r="I33" s="5"/>
      <c r="J33" s="5"/>
    </row>
    <row r="34" customFormat="false" ht="19.5" hidden="false" customHeight="true" outlineLevel="0" collapsed="false">
      <c r="A34" s="51" t="s">
        <v>363</v>
      </c>
      <c r="B34" s="51"/>
      <c r="C34" s="51"/>
      <c r="D34" s="51"/>
      <c r="E34" s="51"/>
      <c r="F34" s="51"/>
      <c r="G34" s="51"/>
      <c r="H34" s="51"/>
      <c r="I34" s="51"/>
      <c r="J34" s="51"/>
    </row>
    <row r="35" customFormat="false" ht="19.5" hidden="false" customHeight="true" outlineLevel="0" collapsed="false">
      <c r="A35" s="51"/>
      <c r="B35" s="51"/>
      <c r="C35" s="51"/>
      <c r="D35" s="51"/>
      <c r="E35" s="51"/>
      <c r="F35" s="51"/>
      <c r="G35" s="51"/>
      <c r="H35" s="51"/>
      <c r="I35" s="51"/>
      <c r="J35" s="51"/>
    </row>
    <row r="36" customFormat="false" ht="19.5" hidden="false" customHeight="true" outlineLevel="0" collapsed="false">
      <c r="A36" s="51"/>
      <c r="B36" s="51"/>
      <c r="C36" s="51"/>
      <c r="D36" s="51"/>
      <c r="E36" s="51"/>
      <c r="F36" s="51"/>
      <c r="G36" s="51"/>
      <c r="H36" s="51"/>
      <c r="I36" s="51"/>
      <c r="J36" s="51"/>
    </row>
    <row r="37" customFormat="false" ht="24.75" hidden="false" customHeight="true" outlineLevel="0" collapsed="false">
      <c r="A37" s="52" t="s">
        <v>364</v>
      </c>
      <c r="B37" s="52"/>
      <c r="C37" s="52"/>
      <c r="D37" s="52"/>
      <c r="E37" s="52"/>
      <c r="F37" s="52" t="s">
        <v>365</v>
      </c>
      <c r="G37" s="52"/>
      <c r="H37" s="52"/>
      <c r="I37" s="52"/>
      <c r="J37" s="52"/>
    </row>
  </sheetData>
  <mergeCells count="24">
    <mergeCell ref="A1:J1"/>
    <mergeCell ref="A2:J2"/>
    <mergeCell ref="A5:J5"/>
    <mergeCell ref="A6:B7"/>
    <mergeCell ref="C6:D7"/>
    <mergeCell ref="E6:F7"/>
    <mergeCell ref="G6:H7"/>
    <mergeCell ref="I6:J7"/>
    <mergeCell ref="A8:B8"/>
    <mergeCell ref="C8:D8"/>
    <mergeCell ref="E8:F8"/>
    <mergeCell ref="G8:H8"/>
    <mergeCell ref="I8:J8"/>
    <mergeCell ref="A11:E11"/>
    <mergeCell ref="A24:E24"/>
    <mergeCell ref="B25:D25"/>
    <mergeCell ref="B26:D26"/>
    <mergeCell ref="B27:D27"/>
    <mergeCell ref="B28:D28"/>
    <mergeCell ref="B29:D29"/>
    <mergeCell ref="A33:J33"/>
    <mergeCell ref="A34:J36"/>
    <mergeCell ref="A37:E37"/>
    <mergeCell ref="F37:J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2026-03-26T08:02:33Z</dcterms:created>
  <dc:creator>openpyxl</dc:creator>
  <dc:description/>
  <dc:language>en-US</dc:language>
  <cp:lastModifiedBy/>
  <dcterms:modified xsi:type="dcterms:W3CDTF">2026-03-26T08:02:33Z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